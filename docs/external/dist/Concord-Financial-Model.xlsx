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플랜·마진표" sheetId="2" state="visible" r:id="rId2"/>
    <sheet xmlns:r="http://schemas.openxmlformats.org/officeDocument/2006/relationships" name="BEP" sheetId="3" state="visible" r:id="rId3"/>
    <sheet xmlns:r="http://schemas.openxmlformats.org/officeDocument/2006/relationships" name="램프업" sheetId="4" state="visible" r:id="rId4"/>
    <sheet xmlns:r="http://schemas.openxmlformats.org/officeDocument/2006/relationships" name="CAC·채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10B981"/>
      <sz val="14"/>
    </font>
  </fonts>
  <fills count="4">
    <fill>
      <patternFill/>
    </fill>
    <fill>
      <patternFill patternType="gray125"/>
    </fill>
    <fill>
      <patternFill patternType="solid">
        <fgColor rgb="00FFF9E6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1" fillId="0" borderId="0" pivotButton="0" quotePrefix="0" xfId="0"/>
    <xf numFmtId="3" fontId="0" fillId="2" borderId="0" pivotButton="0" quotePrefix="0" xfId="0"/>
    <xf numFmtId="164" fontId="0" fillId="2" borderId="0" pivotButton="0" quotePrefix="0" xfId="0"/>
    <xf numFmtId="164" fontId="0" fillId="0" borderId="0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3" fontId="2" fillId="3" borderId="1" applyAlignment="1" pivotButton="0" quotePrefix="0" xfId="0">
      <alignment horizontal="center" vertical="center" wrapText="1"/>
    </xf>
    <xf numFmtId="3" fontId="0" fillId="2" borderId="1" pivotButton="0" quotePrefix="0" xfId="0"/>
    <xf numFmtId="3" fontId="0" fillId="0" borderId="0" pivotButton="0" quotePrefix="0" xfId="0"/>
    <xf numFmtId="0" fontId="0" fillId="2" borderId="1" pivotButton="0" quotePrefix="0" xfId="0"/>
    <xf numFmtId="9" fontId="0" fillId="0" borderId="1" pivotButton="0" quotePrefix="0" xfId="0"/>
    <xf numFmtId="9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24" customWidth="1" min="4" max="4"/>
  </cols>
  <sheetData>
    <row r="1">
      <c r="A1" s="1" t="inlineStr">
        <is>
          <t>Concord 재무 모델</t>
        </is>
      </c>
    </row>
    <row r="2">
      <c r="A2" t="inlineStr">
        <is>
          <t>프리미엄 1:1 대면 과외 · 서울·동탄 — 3개년 (2026 H2 ~ 2029 H1) · 기준 2026-07</t>
        </is>
      </c>
    </row>
    <row r="4">
      <c r="A4" s="2" t="inlineStr">
        <is>
          <t>핵심 지표</t>
        </is>
      </c>
    </row>
    <row r="5">
      <c r="A5" s="3" t="inlineStr">
        <is>
          <t>항목</t>
        </is>
      </c>
      <c r="B5" s="3" t="inlineStr">
        <is>
          <t>값</t>
        </is>
      </c>
      <c r="C5" s="3" t="inlineStr">
        <is>
          <t>근거</t>
        </is>
      </c>
    </row>
    <row r="6">
      <c r="A6" s="4" t="inlineStr">
        <is>
          <t>요금 (4주 정액 선불)</t>
        </is>
      </c>
      <c r="B6" s="4" t="inlineStr">
        <is>
          <t>중등 38·55·76·106만 / 고등 43·58·78·112만 원</t>
        </is>
      </c>
      <c r="C6" s="4" t="inlineStr">
        <is>
          <t>8플랜 확정가 · 할인 구조 없음</t>
        </is>
      </c>
    </row>
    <row r="7">
      <c r="A7" s="4" t="inlineStr">
        <is>
          <t>강사 시급</t>
        </is>
      </c>
      <c r="B7" s="4">
        <f>'플랜·마진표'!B4</f>
        <v/>
      </c>
      <c r="C7" s="4" t="inlineStr">
        <is>
          <t>기본 30,000원/h · 프리셋 32/34/40k 관리자 수동 지정</t>
        </is>
      </c>
    </row>
    <row r="8">
      <c r="A8" s="4" t="inlineStr">
        <is>
          <t>평균 마진율 (8플랜)</t>
        </is>
      </c>
      <c r="B8" s="5">
        <f>'플랜·마진표'!I17</f>
        <v/>
      </c>
      <c r="C8" s="4" t="inlineStr">
        <is>
          <t>플랜·마진표 — 범위 29.9~42.0%</t>
        </is>
      </c>
    </row>
    <row r="9">
      <c r="A9" s="4" t="inlineStr">
        <is>
          <t>학생 1인 월 기여마진</t>
        </is>
      </c>
      <c r="B9" s="4">
        <f>TEXT(BEP!B9,"#,##0")&amp;"원(파일럿 믹스) ~ "&amp;TEXT('플랜·마진표'!H17,"#,##0")&amp;"원(8플랜 평균)"</f>
        <v/>
      </c>
      <c r="C9" s="4" t="inlineStr">
        <is>
          <t>BEP · 플랜·마진표</t>
        </is>
      </c>
    </row>
    <row r="10">
      <c r="A10" s="4" t="inlineStr">
        <is>
          <t>BEP</t>
        </is>
      </c>
      <c r="B10" s="4">
        <f>"Phase 1 활성 "&amp;BEP!B24&amp;"명 / Phase 2 활성 "&amp;BEP!B25&amp;"명"</f>
        <v/>
      </c>
      <c r="C10" s="4" t="inlineStr">
        <is>
          <t>운영 밴드 5~7명 (복합 스트레스 포함)</t>
        </is>
      </c>
    </row>
    <row r="11">
      <c r="A11" s="4" t="inlineStr">
        <is>
          <t>LTV/CAC 목표</t>
        </is>
      </c>
      <c r="B11" s="4" t="inlineStr">
        <is>
          <t>5:1 이상 (기본)</t>
        </is>
      </c>
      <c r="C11" s="4" t="inlineStr">
        <is>
          <t>CAC·채널 — 파일럿 CAC 상한 20만 원</t>
        </is>
      </c>
    </row>
    <row r="12">
      <c r="A12" s="4" t="inlineStr">
        <is>
          <t>지원금 Ask</t>
        </is>
      </c>
      <c r="B12" s="4" t="inlineStr">
        <is>
          <t>1억 원 — 인건비 30 · 사업화 25 · 마케팅 25 · 운영 15 · 예비 5(%)</t>
        </is>
      </c>
      <c r="C12" s="4" t="inlineStr">
        <is>
          <t>CAC·채널 배분표</t>
        </is>
      </c>
    </row>
    <row r="13">
      <c r="A13" s="4" t="inlineStr">
        <is>
          <t>시장 (2025 실측)</t>
        </is>
      </c>
      <c r="B13" s="4" t="inlineStr">
        <is>
          <t>사교육 총액 27.5조 원 · 참여 학생 1인당 월 60.4만 원</t>
        </is>
      </c>
      <c r="C13" s="4" t="inlineStr">
        <is>
          <t>국가데이터처 2025년 초중고 사교육비조사</t>
        </is>
      </c>
    </row>
    <row r="15">
      <c r="A15" s="2" t="inlineStr">
        <is>
          <t>3개년 전망 (램프업 월별 적산)</t>
        </is>
      </c>
    </row>
    <row r="16">
      <c r="A16" s="3" t="inlineStr">
        <is>
          <t>시나리오</t>
        </is>
      </c>
      <c r="B16" s="3" t="inlineStr">
        <is>
          <t>3년말 활성 학생</t>
        </is>
      </c>
      <c r="C16" s="3" t="inlineStr">
        <is>
          <t>누적 수업료 매출(원)</t>
        </is>
      </c>
      <c r="D16" s="3" t="inlineStr">
        <is>
          <t>누적 기여마진(원)</t>
        </is>
      </c>
    </row>
    <row r="17">
      <c r="A17" s="4" t="inlineStr">
        <is>
          <t>보수</t>
        </is>
      </c>
      <c r="B17" s="4">
        <f>램프업!B54</f>
        <v/>
      </c>
      <c r="C17" s="6">
        <f>램프업!C54</f>
        <v/>
      </c>
      <c r="D17" s="6">
        <f>램프업!D54</f>
        <v/>
      </c>
    </row>
    <row r="18">
      <c r="A18" s="4" t="inlineStr">
        <is>
          <t>기본</t>
        </is>
      </c>
      <c r="B18" s="4">
        <f>램프업!B55</f>
        <v/>
      </c>
      <c r="C18" s="6">
        <f>램프업!C55</f>
        <v/>
      </c>
      <c r="D18" s="6">
        <f>램프업!D55</f>
        <v/>
      </c>
    </row>
    <row r="19">
      <c r="A19" s="4" t="inlineStr">
        <is>
          <t>공격</t>
        </is>
      </c>
      <c r="B19" s="4">
        <f>램프업!B56</f>
        <v/>
      </c>
      <c r="C19" s="6">
        <f>램프업!C56</f>
        <v/>
      </c>
      <c r="D19" s="6">
        <f>램프업!D56</f>
        <v/>
      </c>
    </row>
    <row r="21">
      <c r="A21" t="inlineStr">
        <is>
          <t>가정 셀(노란 채움)을 바꾸면 전 시트가 재계산된다. 시급·객단가·믹스·활성 학생 앵커가 가정.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4" customWidth="1" min="5" max="5"/>
    <col width="13" customWidth="1" min="6" max="6"/>
    <col width="11" customWidth="1" min="7" max="7"/>
    <col width="13" customWidth="1" min="8" max="8"/>
    <col width="10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7" t="inlineStr">
        <is>
          <t>플랜별 기여마진 (8플랜 · 4주 정액 선불)</t>
        </is>
      </c>
    </row>
    <row r="3">
      <c r="A3" s="2" t="inlineStr">
        <is>
          <t>가정 (노란 채움 셀 — 값 변경 시 전체 재계산)</t>
        </is>
      </c>
    </row>
    <row r="4">
      <c r="A4" t="inlineStr">
        <is>
          <t>기본 시급(원/h)</t>
        </is>
      </c>
      <c r="B4" s="8" t="n">
        <v>30000</v>
      </c>
      <c r="C4" t="inlineStr">
        <is>
          <t>확정 2026-07-04 · 차등은 관리자 수동 프리셋만</t>
        </is>
      </c>
    </row>
    <row r="5">
      <c r="A5" t="inlineStr">
        <is>
          <t>PG 수수료율</t>
        </is>
      </c>
      <c r="B5" s="9" t="n">
        <v>0.022</v>
      </c>
      <c r="C5" t="inlineStr">
        <is>
          <t>토스페이먼츠</t>
        </is>
      </c>
    </row>
    <row r="6">
      <c r="A6" t="inlineStr">
        <is>
          <t>원천징수율</t>
        </is>
      </c>
      <c r="B6" s="10" t="n">
        <v>0.033</v>
      </c>
      <c r="C6" t="inlineStr">
        <is>
          <t>강사 정산 시 공제 — 회사 원가는 강사비 총액 기준</t>
        </is>
      </c>
    </row>
    <row r="8">
      <c r="A8" s="3" t="inlineStr">
        <is>
          <t>플랜</t>
        </is>
      </c>
      <c r="B8" s="3" t="inlineStr">
        <is>
          <t>월 수업 시간(h)</t>
        </is>
      </c>
      <c r="C8" s="3" t="inlineStr">
        <is>
          <t>월 요금(원)</t>
        </is>
      </c>
      <c r="D8" s="3" t="inlineStr">
        <is>
          <t>강사비(원)</t>
        </is>
      </c>
      <c r="E8" s="3" t="inlineStr">
        <is>
          <t>원천징수 3.3%(원)</t>
        </is>
      </c>
      <c r="F8" s="3" t="inlineStr">
        <is>
          <t>강사 실지급(원)</t>
        </is>
      </c>
      <c r="G8" s="3" t="inlineStr">
        <is>
          <t>PG(원)</t>
        </is>
      </c>
      <c r="H8" s="3" t="inlineStr">
        <is>
          <t>기여마진(원)</t>
        </is>
      </c>
      <c r="I8" s="3" t="inlineStr">
        <is>
          <t>마진율</t>
        </is>
      </c>
    </row>
    <row r="9">
      <c r="A9" s="4" t="inlineStr">
        <is>
          <t>중등 · 주1 · 2h</t>
        </is>
      </c>
      <c r="B9" s="4" t="n">
        <v>8</v>
      </c>
      <c r="C9" s="6" t="n">
        <v>380000</v>
      </c>
      <c r="D9" s="6">
        <f>B9*$B$4</f>
        <v/>
      </c>
      <c r="E9" s="6">
        <f>D9*$B$6</f>
        <v/>
      </c>
      <c r="F9" s="6">
        <f>D9-E9</f>
        <v/>
      </c>
      <c r="G9" s="6">
        <f>C9*$B$5</f>
        <v/>
      </c>
      <c r="H9" s="6">
        <f>C9-D9-G9</f>
        <v/>
      </c>
      <c r="I9" s="5">
        <f>H9/C9</f>
        <v/>
      </c>
    </row>
    <row r="10">
      <c r="A10" s="4" t="inlineStr">
        <is>
          <t>중등 · 주1 · 3h</t>
        </is>
      </c>
      <c r="B10" s="4" t="n">
        <v>12</v>
      </c>
      <c r="C10" s="6" t="n">
        <v>550000</v>
      </c>
      <c r="D10" s="6">
        <f>B10*$B$4</f>
        <v/>
      </c>
      <c r="E10" s="6">
        <f>D10*$B$6</f>
        <v/>
      </c>
      <c r="F10" s="6">
        <f>D10-E10</f>
        <v/>
      </c>
      <c r="G10" s="6">
        <f>C10*$B$5</f>
        <v/>
      </c>
      <c r="H10" s="6">
        <f>C10-D10-G10</f>
        <v/>
      </c>
      <c r="I10" s="5">
        <f>H10/C10</f>
        <v/>
      </c>
    </row>
    <row r="11">
      <c r="A11" s="4" t="inlineStr">
        <is>
          <t>중등 · 주2 · 2h</t>
        </is>
      </c>
      <c r="B11" s="4" t="n">
        <v>16</v>
      </c>
      <c r="C11" s="6" t="n">
        <v>760000</v>
      </c>
      <c r="D11" s="6">
        <f>B11*$B$4</f>
        <v/>
      </c>
      <c r="E11" s="6">
        <f>D11*$B$6</f>
        <v/>
      </c>
      <c r="F11" s="6">
        <f>D11-E11</f>
        <v/>
      </c>
      <c r="G11" s="6">
        <f>C11*$B$5</f>
        <v/>
      </c>
      <c r="H11" s="6">
        <f>C11-D11-G11</f>
        <v/>
      </c>
      <c r="I11" s="5">
        <f>H11/C11</f>
        <v/>
      </c>
    </row>
    <row r="12">
      <c r="A12" s="4" t="inlineStr">
        <is>
          <t>중등 · 주2 · 3h</t>
        </is>
      </c>
      <c r="B12" s="4" t="n">
        <v>24</v>
      </c>
      <c r="C12" s="6" t="n">
        <v>1060000</v>
      </c>
      <c r="D12" s="6">
        <f>B12*$B$4</f>
        <v/>
      </c>
      <c r="E12" s="6">
        <f>D12*$B$6</f>
        <v/>
      </c>
      <c r="F12" s="6">
        <f>D12-E12</f>
        <v/>
      </c>
      <c r="G12" s="6">
        <f>C12*$B$5</f>
        <v/>
      </c>
      <c r="H12" s="6">
        <f>C12-D12-G12</f>
        <v/>
      </c>
      <c r="I12" s="5">
        <f>H12/C12</f>
        <v/>
      </c>
    </row>
    <row r="13">
      <c r="A13" s="4" t="inlineStr">
        <is>
          <t>고등 · 주1 · 2h</t>
        </is>
      </c>
      <c r="B13" s="4" t="n">
        <v>8</v>
      </c>
      <c r="C13" s="6" t="n">
        <v>430000</v>
      </c>
      <c r="D13" s="6">
        <f>B13*$B$4</f>
        <v/>
      </c>
      <c r="E13" s="6">
        <f>D13*$B$6</f>
        <v/>
      </c>
      <c r="F13" s="6">
        <f>D13-E13</f>
        <v/>
      </c>
      <c r="G13" s="6">
        <f>C13*$B$5</f>
        <v/>
      </c>
      <c r="H13" s="6">
        <f>C13-D13-G13</f>
        <v/>
      </c>
      <c r="I13" s="5">
        <f>H13/C13</f>
        <v/>
      </c>
    </row>
    <row r="14">
      <c r="A14" s="4" t="inlineStr">
        <is>
          <t>고등 · 주1 · 3h</t>
        </is>
      </c>
      <c r="B14" s="4" t="n">
        <v>12</v>
      </c>
      <c r="C14" s="6" t="n">
        <v>580000</v>
      </c>
      <c r="D14" s="6">
        <f>B14*$B$4</f>
        <v/>
      </c>
      <c r="E14" s="6">
        <f>D14*$B$6</f>
        <v/>
      </c>
      <c r="F14" s="6">
        <f>D14-E14</f>
        <v/>
      </c>
      <c r="G14" s="6">
        <f>C14*$B$5</f>
        <v/>
      </c>
      <c r="H14" s="6">
        <f>C14-D14-G14</f>
        <v/>
      </c>
      <c r="I14" s="5">
        <f>H14/C14</f>
        <v/>
      </c>
    </row>
    <row r="15">
      <c r="A15" s="4" t="inlineStr">
        <is>
          <t>고등 · 주2 · 2h</t>
        </is>
      </c>
      <c r="B15" s="4" t="n">
        <v>16</v>
      </c>
      <c r="C15" s="6" t="n">
        <v>780000</v>
      </c>
      <c r="D15" s="6">
        <f>B15*$B$4</f>
        <v/>
      </c>
      <c r="E15" s="6">
        <f>D15*$B$6</f>
        <v/>
      </c>
      <c r="F15" s="6">
        <f>D15-E15</f>
        <v/>
      </c>
      <c r="G15" s="6">
        <f>C15*$B$5</f>
        <v/>
      </c>
      <c r="H15" s="6">
        <f>C15-D15-G15</f>
        <v/>
      </c>
      <c r="I15" s="5">
        <f>H15/C15</f>
        <v/>
      </c>
    </row>
    <row r="16">
      <c r="A16" s="4" t="inlineStr">
        <is>
          <t>고등 · 주2 · 3h</t>
        </is>
      </c>
      <c r="B16" s="4" t="n">
        <v>24</v>
      </c>
      <c r="C16" s="6" t="n">
        <v>1120000</v>
      </c>
      <c r="D16" s="6">
        <f>B16*$B$4</f>
        <v/>
      </c>
      <c r="E16" s="6">
        <f>D16*$B$6</f>
        <v/>
      </c>
      <c r="F16" s="6">
        <f>D16-E16</f>
        <v/>
      </c>
      <c r="G16" s="6">
        <f>C16*$B$5</f>
        <v/>
      </c>
      <c r="H16" s="6">
        <f>C16-D16-G16</f>
        <v/>
      </c>
      <c r="I16" s="5">
        <f>H16/C16</f>
        <v/>
      </c>
    </row>
    <row r="17">
      <c r="A17" s="11" t="inlineStr">
        <is>
          <t>8플랜 산술평균</t>
        </is>
      </c>
      <c r="B17" s="12">
        <f>AVERAGE(B9:B16)</f>
        <v/>
      </c>
      <c r="C17" s="12">
        <f>AVERAGE(C9:C16)</f>
        <v/>
      </c>
      <c r="D17" s="12">
        <f>AVERAGE(D9:D16)</f>
        <v/>
      </c>
      <c r="E17" s="12">
        <f>AVERAGE(E9:E16)</f>
        <v/>
      </c>
      <c r="F17" s="12">
        <f>AVERAGE(F9:F16)</f>
        <v/>
      </c>
      <c r="G17" s="12">
        <f>AVERAGE(G9:G16)</f>
        <v/>
      </c>
      <c r="H17" s="12">
        <f>AVERAGE(H9:H16)</f>
        <v/>
      </c>
      <c r="I17" s="13">
        <f>H17/C17</f>
        <v/>
      </c>
    </row>
    <row r="20">
      <c r="A20" s="2" t="inlineStr">
        <is>
          <t>시급 프리셋별 민감도 (요금 불변 · PG 동일)</t>
        </is>
      </c>
    </row>
    <row r="21">
      <c r="A21" s="3" t="inlineStr">
        <is>
          <t>플랜</t>
        </is>
      </c>
      <c r="B21" s="3" t="inlineStr">
        <is>
          <t>강사비(원)</t>
        </is>
      </c>
      <c r="C21" s="3" t="n"/>
      <c r="D21" s="3" t="n"/>
      <c r="E21" s="3" t="n"/>
      <c r="F21" s="3" t="inlineStr">
        <is>
          <t>기여마진(원)</t>
        </is>
      </c>
      <c r="G21" s="3" t="n"/>
      <c r="H21" s="3" t="n"/>
      <c r="I21" s="3" t="n"/>
      <c r="J21" s="3" t="inlineStr">
        <is>
          <t>마진율</t>
        </is>
      </c>
      <c r="K21" s="3" t="n"/>
      <c r="L21" s="3" t="n"/>
      <c r="M21" s="3" t="n"/>
    </row>
    <row r="22">
      <c r="A22" s="3" t="inlineStr">
        <is>
          <t>시급(원/h)</t>
        </is>
      </c>
      <c r="B22" s="14" t="n">
        <v>30000</v>
      </c>
      <c r="C22" s="14" t="n">
        <v>32000</v>
      </c>
      <c r="D22" s="14" t="n">
        <v>34000</v>
      </c>
      <c r="E22" s="14" t="n">
        <v>40000</v>
      </c>
      <c r="F22" s="14">
        <f>B22</f>
        <v/>
      </c>
      <c r="G22" s="14">
        <f>C22</f>
        <v/>
      </c>
      <c r="H22" s="14">
        <f>D22</f>
        <v/>
      </c>
      <c r="I22" s="14">
        <f>E22</f>
        <v/>
      </c>
      <c r="J22" s="14">
        <f>B22</f>
        <v/>
      </c>
      <c r="K22" s="14">
        <f>C22</f>
        <v/>
      </c>
      <c r="L22" s="14">
        <f>D22</f>
        <v/>
      </c>
      <c r="M22" s="14">
        <f>E22</f>
        <v/>
      </c>
    </row>
    <row r="23">
      <c r="A23" s="4" t="inlineStr">
        <is>
          <t>중등 · 주1 · 2h</t>
        </is>
      </c>
      <c r="B23" s="6">
        <f>$B9*B$22</f>
        <v/>
      </c>
      <c r="C23" s="6">
        <f>$B9*C$22</f>
        <v/>
      </c>
      <c r="D23" s="6">
        <f>$B9*D$22</f>
        <v/>
      </c>
      <c r="E23" s="6">
        <f>$B9*E$22</f>
        <v/>
      </c>
      <c r="F23" s="6">
        <f>$C9-$B9*F$22-$C9*$B$5</f>
        <v/>
      </c>
      <c r="G23" s="6">
        <f>$C9-$B9*G$22-$C9*$B$5</f>
        <v/>
      </c>
      <c r="H23" s="6">
        <f>$C9-$B9*H$22-$C9*$B$5</f>
        <v/>
      </c>
      <c r="I23" s="6">
        <f>$C9-$B9*I$22-$C9*$B$5</f>
        <v/>
      </c>
      <c r="J23" s="5">
        <f>($C9-$B9*J$22-$C9*$B$5)/$C9</f>
        <v/>
      </c>
      <c r="K23" s="5">
        <f>($C9-$B9*K$22-$C9*$B$5)/$C9</f>
        <v/>
      </c>
      <c r="L23" s="5">
        <f>($C9-$B9*L$22-$C9*$B$5)/$C9</f>
        <v/>
      </c>
      <c r="M23" s="5">
        <f>($C9-$B9*M$22-$C9*$B$5)/$C9</f>
        <v/>
      </c>
    </row>
    <row r="24">
      <c r="A24" s="4" t="inlineStr">
        <is>
          <t>중등 · 주1 · 3h</t>
        </is>
      </c>
      <c r="B24" s="6">
        <f>$B10*B$22</f>
        <v/>
      </c>
      <c r="C24" s="6">
        <f>$B10*C$22</f>
        <v/>
      </c>
      <c r="D24" s="6">
        <f>$B10*D$22</f>
        <v/>
      </c>
      <c r="E24" s="6">
        <f>$B10*E$22</f>
        <v/>
      </c>
      <c r="F24" s="6">
        <f>$C10-$B10*F$22-$C10*$B$5</f>
        <v/>
      </c>
      <c r="G24" s="6">
        <f>$C10-$B10*G$22-$C10*$B$5</f>
        <v/>
      </c>
      <c r="H24" s="6">
        <f>$C10-$B10*H$22-$C10*$B$5</f>
        <v/>
      </c>
      <c r="I24" s="6">
        <f>$C10-$B10*I$22-$C10*$B$5</f>
        <v/>
      </c>
      <c r="J24" s="5">
        <f>($C10-$B10*J$22-$C10*$B$5)/$C10</f>
        <v/>
      </c>
      <c r="K24" s="5">
        <f>($C10-$B10*K$22-$C10*$B$5)/$C10</f>
        <v/>
      </c>
      <c r="L24" s="5">
        <f>($C10-$B10*L$22-$C10*$B$5)/$C10</f>
        <v/>
      </c>
      <c r="M24" s="5">
        <f>($C10-$B10*M$22-$C10*$B$5)/$C10</f>
        <v/>
      </c>
    </row>
    <row r="25">
      <c r="A25" s="4" t="inlineStr">
        <is>
          <t>중등 · 주2 · 2h</t>
        </is>
      </c>
      <c r="B25" s="6">
        <f>$B11*B$22</f>
        <v/>
      </c>
      <c r="C25" s="6">
        <f>$B11*C$22</f>
        <v/>
      </c>
      <c r="D25" s="6">
        <f>$B11*D$22</f>
        <v/>
      </c>
      <c r="E25" s="6">
        <f>$B11*E$22</f>
        <v/>
      </c>
      <c r="F25" s="6">
        <f>$C11-$B11*F$22-$C11*$B$5</f>
        <v/>
      </c>
      <c r="G25" s="6">
        <f>$C11-$B11*G$22-$C11*$B$5</f>
        <v/>
      </c>
      <c r="H25" s="6">
        <f>$C11-$B11*H$22-$C11*$B$5</f>
        <v/>
      </c>
      <c r="I25" s="6">
        <f>$C11-$B11*I$22-$C11*$B$5</f>
        <v/>
      </c>
      <c r="J25" s="5">
        <f>($C11-$B11*J$22-$C11*$B$5)/$C11</f>
        <v/>
      </c>
      <c r="K25" s="5">
        <f>($C11-$B11*K$22-$C11*$B$5)/$C11</f>
        <v/>
      </c>
      <c r="L25" s="5">
        <f>($C11-$B11*L$22-$C11*$B$5)/$C11</f>
        <v/>
      </c>
      <c r="M25" s="5">
        <f>($C11-$B11*M$22-$C11*$B$5)/$C11</f>
        <v/>
      </c>
    </row>
    <row r="26">
      <c r="A26" s="4" t="inlineStr">
        <is>
          <t>중등 · 주2 · 3h</t>
        </is>
      </c>
      <c r="B26" s="6">
        <f>$B12*B$22</f>
        <v/>
      </c>
      <c r="C26" s="6">
        <f>$B12*C$22</f>
        <v/>
      </c>
      <c r="D26" s="6">
        <f>$B12*D$22</f>
        <v/>
      </c>
      <c r="E26" s="6">
        <f>$B12*E$22</f>
        <v/>
      </c>
      <c r="F26" s="6">
        <f>$C12-$B12*F$22-$C12*$B$5</f>
        <v/>
      </c>
      <c r="G26" s="6">
        <f>$C12-$B12*G$22-$C12*$B$5</f>
        <v/>
      </c>
      <c r="H26" s="6">
        <f>$C12-$B12*H$22-$C12*$B$5</f>
        <v/>
      </c>
      <c r="I26" s="6">
        <f>$C12-$B12*I$22-$C12*$B$5</f>
        <v/>
      </c>
      <c r="J26" s="5">
        <f>($C12-$B12*J$22-$C12*$B$5)/$C12</f>
        <v/>
      </c>
      <c r="K26" s="5">
        <f>($C12-$B12*K$22-$C12*$B$5)/$C12</f>
        <v/>
      </c>
      <c r="L26" s="5">
        <f>($C12-$B12*L$22-$C12*$B$5)/$C12</f>
        <v/>
      </c>
      <c r="M26" s="5">
        <f>($C12-$B12*M$22-$C12*$B$5)/$C12</f>
        <v/>
      </c>
    </row>
    <row r="27">
      <c r="A27" s="4" t="inlineStr">
        <is>
          <t>고등 · 주1 · 2h</t>
        </is>
      </c>
      <c r="B27" s="6">
        <f>$B13*B$22</f>
        <v/>
      </c>
      <c r="C27" s="6">
        <f>$B13*C$22</f>
        <v/>
      </c>
      <c r="D27" s="6">
        <f>$B13*D$22</f>
        <v/>
      </c>
      <c r="E27" s="6">
        <f>$B13*E$22</f>
        <v/>
      </c>
      <c r="F27" s="6">
        <f>$C13-$B13*F$22-$C13*$B$5</f>
        <v/>
      </c>
      <c r="G27" s="6">
        <f>$C13-$B13*G$22-$C13*$B$5</f>
        <v/>
      </c>
      <c r="H27" s="6">
        <f>$C13-$B13*H$22-$C13*$B$5</f>
        <v/>
      </c>
      <c r="I27" s="6">
        <f>$C13-$B13*I$22-$C13*$B$5</f>
        <v/>
      </c>
      <c r="J27" s="5">
        <f>($C13-$B13*J$22-$C13*$B$5)/$C13</f>
        <v/>
      </c>
      <c r="K27" s="5">
        <f>($C13-$B13*K$22-$C13*$B$5)/$C13</f>
        <v/>
      </c>
      <c r="L27" s="5">
        <f>($C13-$B13*L$22-$C13*$B$5)/$C13</f>
        <v/>
      </c>
      <c r="M27" s="5">
        <f>($C13-$B13*M$22-$C13*$B$5)/$C13</f>
        <v/>
      </c>
    </row>
    <row r="28">
      <c r="A28" s="4" t="inlineStr">
        <is>
          <t>고등 · 주1 · 3h</t>
        </is>
      </c>
      <c r="B28" s="6">
        <f>$B14*B$22</f>
        <v/>
      </c>
      <c r="C28" s="6">
        <f>$B14*C$22</f>
        <v/>
      </c>
      <c r="D28" s="6">
        <f>$B14*D$22</f>
        <v/>
      </c>
      <c r="E28" s="6">
        <f>$B14*E$22</f>
        <v/>
      </c>
      <c r="F28" s="6">
        <f>$C14-$B14*F$22-$C14*$B$5</f>
        <v/>
      </c>
      <c r="G28" s="6">
        <f>$C14-$B14*G$22-$C14*$B$5</f>
        <v/>
      </c>
      <c r="H28" s="6">
        <f>$C14-$B14*H$22-$C14*$B$5</f>
        <v/>
      </c>
      <c r="I28" s="6">
        <f>$C14-$B14*I$22-$C14*$B$5</f>
        <v/>
      </c>
      <c r="J28" s="5">
        <f>($C14-$B14*J$22-$C14*$B$5)/$C14</f>
        <v/>
      </c>
      <c r="K28" s="5">
        <f>($C14-$B14*K$22-$C14*$B$5)/$C14</f>
        <v/>
      </c>
      <c r="L28" s="5">
        <f>($C14-$B14*L$22-$C14*$B$5)/$C14</f>
        <v/>
      </c>
      <c r="M28" s="5">
        <f>($C14-$B14*M$22-$C14*$B$5)/$C14</f>
        <v/>
      </c>
    </row>
    <row r="29">
      <c r="A29" s="4" t="inlineStr">
        <is>
          <t>고등 · 주2 · 2h</t>
        </is>
      </c>
      <c r="B29" s="6">
        <f>$B15*B$22</f>
        <v/>
      </c>
      <c r="C29" s="6">
        <f>$B15*C$22</f>
        <v/>
      </c>
      <c r="D29" s="6">
        <f>$B15*D$22</f>
        <v/>
      </c>
      <c r="E29" s="6">
        <f>$B15*E$22</f>
        <v/>
      </c>
      <c r="F29" s="6">
        <f>$C15-$B15*F$22-$C15*$B$5</f>
        <v/>
      </c>
      <c r="G29" s="6">
        <f>$C15-$B15*G$22-$C15*$B$5</f>
        <v/>
      </c>
      <c r="H29" s="6">
        <f>$C15-$B15*H$22-$C15*$B$5</f>
        <v/>
      </c>
      <c r="I29" s="6">
        <f>$C15-$B15*I$22-$C15*$B$5</f>
        <v/>
      </c>
      <c r="J29" s="5">
        <f>($C15-$B15*J$22-$C15*$B$5)/$C15</f>
        <v/>
      </c>
      <c r="K29" s="5">
        <f>($C15-$B15*K$22-$C15*$B$5)/$C15</f>
        <v/>
      </c>
      <c r="L29" s="5">
        <f>($C15-$B15*L$22-$C15*$B$5)/$C15</f>
        <v/>
      </c>
      <c r="M29" s="5">
        <f>($C15-$B15*M$22-$C15*$B$5)/$C15</f>
        <v/>
      </c>
    </row>
    <row r="30">
      <c r="A30" s="4" t="inlineStr">
        <is>
          <t>고등 · 주2 · 3h</t>
        </is>
      </c>
      <c r="B30" s="6">
        <f>$B16*B$22</f>
        <v/>
      </c>
      <c r="C30" s="6">
        <f>$B16*C$22</f>
        <v/>
      </c>
      <c r="D30" s="6">
        <f>$B16*D$22</f>
        <v/>
      </c>
      <c r="E30" s="6">
        <f>$B16*E$22</f>
        <v/>
      </c>
      <c r="F30" s="6">
        <f>$C16-$B16*F$22-$C16*$B$5</f>
        <v/>
      </c>
      <c r="G30" s="6">
        <f>$C16-$B16*G$22-$C16*$B$5</f>
        <v/>
      </c>
      <c r="H30" s="6">
        <f>$C16-$B16*H$22-$C16*$B$5</f>
        <v/>
      </c>
      <c r="I30" s="6">
        <f>$C16-$B16*I$22-$C16*$B$5</f>
        <v/>
      </c>
      <c r="J30" s="5">
        <f>($C16-$B16*J$22-$C16*$B$5)/$C16</f>
        <v/>
      </c>
      <c r="K30" s="5">
        <f>($C16-$B16*K$22-$C16*$B$5)/$C16</f>
        <v/>
      </c>
      <c r="L30" s="5">
        <f>($C16-$B16*L$22-$C16*$B$5)/$C16</f>
        <v/>
      </c>
      <c r="M30" s="5">
        <f>($C16-$B16*M$22-$C16*$B$5)/$C16</f>
        <v/>
      </c>
    </row>
    <row r="32">
      <c r="A32" t="inlineStr">
        <is>
          <t>주: 프리셋 32,000/34,000/40,000원은 관리자 수동 지정 예외(차등시급 시스템 보류). 기본 시급 30,000원이 정산 기준.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3" customWidth="1" min="5" max="5"/>
    <col width="13" customWidth="1" min="6" max="6"/>
    <col width="15" customWidth="1" min="7" max="7"/>
    <col width="13" customWidth="1" min="8" max="8"/>
    <col width="13" customWidth="1" min="9" max="9"/>
  </cols>
  <sheetData>
    <row r="1">
      <c r="A1" s="7" t="inlineStr">
        <is>
          <t>손익분기 (BEP)</t>
        </is>
      </c>
    </row>
    <row r="3">
      <c r="A3" s="2" t="inlineStr">
        <is>
          <t>학생 1인 월 기여마진 — 파일럿 믹스</t>
        </is>
      </c>
    </row>
    <row r="4">
      <c r="A4" s="4" t="inlineStr">
        <is>
          <t>객단가(월·원)</t>
        </is>
      </c>
      <c r="B4" s="15" t="n">
        <v>650000</v>
      </c>
      <c r="C4" t="inlineStr">
        <is>
          <t>파일럿 예상 믹스 가중</t>
        </is>
      </c>
    </row>
    <row r="5">
      <c r="A5" s="4" t="inlineStr">
        <is>
          <t>월 평균 수업 시간(h)</t>
        </is>
      </c>
      <c r="B5" s="15" t="n">
        <v>14</v>
      </c>
      <c r="C5" t="inlineStr">
        <is>
          <t>믹스 가중평균</t>
        </is>
      </c>
    </row>
    <row r="6">
      <c r="A6" s="4" t="inlineStr">
        <is>
          <t>강사 시급(원/h)</t>
        </is>
      </c>
      <c r="B6" s="6">
        <f>'플랜·마진표'!B4</f>
        <v/>
      </c>
      <c r="C6" t="inlineStr">
        <is>
          <t>플랜·마진표 가정 연동</t>
        </is>
      </c>
    </row>
    <row r="7">
      <c r="A7" s="4" t="inlineStr">
        <is>
          <t>강사비(원)</t>
        </is>
      </c>
      <c r="B7" s="6">
        <f>B5*B6</f>
        <v/>
      </c>
    </row>
    <row r="8">
      <c r="A8" s="4" t="inlineStr">
        <is>
          <t>PG(원)</t>
        </is>
      </c>
      <c r="B8" s="6">
        <f>B4*'플랜·마진표'!B5</f>
        <v/>
      </c>
    </row>
    <row r="9">
      <c r="A9" s="11" t="inlineStr">
        <is>
          <t>학생 1인 월 기여마진(원)</t>
        </is>
      </c>
      <c r="B9" s="12">
        <f>B4-B7-B8</f>
        <v/>
      </c>
      <c r="C9" t="inlineStr">
        <is>
          <t>약 215,700원</t>
        </is>
      </c>
    </row>
    <row r="11">
      <c r="A11" s="2" t="inlineStr">
        <is>
          <t>월 고정비 내역</t>
        </is>
      </c>
    </row>
    <row r="12">
      <c r="A12" s="3" t="inlineStr">
        <is>
          <t>항목</t>
        </is>
      </c>
      <c r="B12" s="3" t="inlineStr">
        <is>
          <t>Phase 1 (~30명)</t>
        </is>
      </c>
      <c r="C12" s="3" t="inlineStr">
        <is>
          <t>Phase 2 (30명 초과)</t>
        </is>
      </c>
    </row>
    <row r="13">
      <c r="A13" s="4" t="inlineStr">
        <is>
          <t>대표자 인건비</t>
        </is>
      </c>
      <c r="B13" s="4" t="inlineStr">
        <is>
          <t>지원금 충당</t>
        </is>
      </c>
      <c r="C13" s="4" t="inlineStr">
        <is>
          <t>지원금 → 매출 자립</t>
        </is>
      </c>
    </row>
    <row r="14">
      <c r="A14" s="4" t="inlineStr">
        <is>
          <t>매니저 인건비</t>
        </is>
      </c>
      <c r="B14" s="4" t="inlineStr">
        <is>
          <t>대표자 겸무 (0원)</t>
        </is>
      </c>
      <c r="C14" s="4" t="inlineStr">
        <is>
          <t>성과급 변동비 구조</t>
        </is>
      </c>
    </row>
    <row r="15">
      <c r="A15" s="4" t="inlineStr">
        <is>
          <t>인프라(Vercel·Supabase·토스)</t>
        </is>
      </c>
      <c r="B15" s="4" t="inlineStr">
        <is>
          <t>약 10~30만 원</t>
        </is>
      </c>
      <c r="C15" s="4" t="inlineStr">
        <is>
          <t>규모 비례·소액</t>
        </is>
      </c>
    </row>
    <row r="16">
      <c r="A16" s="4" t="inlineStr">
        <is>
          <t>마케팅</t>
        </is>
      </c>
      <c r="B16" s="4" t="inlineStr">
        <is>
          <t>30~50만 → 100~300만 원</t>
        </is>
      </c>
      <c r="C16" s="4" t="inlineStr">
        <is>
          <t>200~500만 원</t>
        </is>
      </c>
    </row>
    <row r="17">
      <c r="A17" s="4" t="inlineStr">
        <is>
          <t>사무·법무·세무·통신</t>
        </is>
      </c>
      <c r="B17" s="4" t="inlineStr">
        <is>
          <t>20~30만 원</t>
        </is>
      </c>
      <c r="C17" s="4" t="inlineStr">
        <is>
          <t>30~50만 원</t>
        </is>
      </c>
    </row>
    <row r="18">
      <c r="A18" s="4" t="inlineStr">
        <is>
          <t>배상책임보험</t>
        </is>
      </c>
      <c r="B18" s="4" t="inlineStr">
        <is>
          <t>5~10만 원</t>
        </is>
      </c>
      <c r="C18" s="4" t="inlineStr">
        <is>
          <t>10만 원</t>
        </is>
      </c>
    </row>
    <row r="19">
      <c r="A19" s="11" t="inlineStr">
        <is>
          <t>합계</t>
        </is>
      </c>
      <c r="B19" s="4" t="inlineStr">
        <is>
          <t>약 65~120만 원</t>
        </is>
      </c>
      <c r="C19" s="4" t="inlineStr">
        <is>
          <t>약 250~500만 원</t>
        </is>
      </c>
    </row>
    <row r="21">
      <c r="A21" s="2" t="inlineStr">
        <is>
          <t>BEP 계산 (고정비 가정 셀)</t>
        </is>
      </c>
    </row>
    <row r="22">
      <c r="A22" s="4" t="inlineStr">
        <is>
          <t>Phase 1 고정비(원/월)</t>
        </is>
      </c>
      <c r="B22" s="15" t="n">
        <v>1000000</v>
      </c>
    </row>
    <row r="23">
      <c r="A23" s="4" t="inlineStr">
        <is>
          <t>Phase 2 고정비(원/월)</t>
        </is>
      </c>
      <c r="B23" s="15" t="n">
        <v>3000000</v>
      </c>
    </row>
    <row r="24">
      <c r="A24" s="11" t="inlineStr">
        <is>
          <t>Phase 1 BEP(활성 학생)</t>
        </is>
      </c>
      <c r="B24" s="11">
        <f>CEILING(B22/B9,1)</f>
        <v/>
      </c>
    </row>
    <row r="25">
      <c r="A25" s="11" t="inlineStr">
        <is>
          <t>Phase 2 BEP(활성 학생)</t>
        </is>
      </c>
      <c r="B25" s="11">
        <f>CEILING(B23/B9,1)</f>
        <v/>
      </c>
    </row>
    <row r="27">
      <c r="A27" t="inlineStr">
        <is>
          <t>주: 복합 스트레스(시급 32,500원 + 객단가 -5% + 이탈 8%)에서도 BEP 7명 — 운영 밴드 5~7명.</t>
        </is>
      </c>
    </row>
    <row r="29">
      <c r="A29" s="2" t="inlineStr">
        <is>
          <t>민감도 — 시급 × 플랜 믹스</t>
        </is>
      </c>
    </row>
    <row r="30">
      <c r="A30" s="3" t="inlineStr"/>
      <c r="B30" s="3" t="inlineStr">
        <is>
          <t>파일럿 믹스 (650,000원 · 14h)</t>
        </is>
      </c>
      <c r="C30" s="20" t="n"/>
      <c r="D30" s="21" t="n"/>
      <c r="E30" s="3" t="inlineStr">
        <is>
          <t>8플랜 평균 (707,500원 · 15h)</t>
        </is>
      </c>
      <c r="F30" s="20" t="n"/>
      <c r="G30" s="21" t="n"/>
    </row>
    <row r="31">
      <c r="A31" s="3" t="inlineStr">
        <is>
          <t>시급(원/h)</t>
        </is>
      </c>
      <c r="B31" s="3" t="inlineStr">
        <is>
          <t>기여마진(원)</t>
        </is>
      </c>
      <c r="C31" s="3" t="inlineStr">
        <is>
          <t>BEP P1(명)</t>
        </is>
      </c>
      <c r="D31" s="3" t="inlineStr">
        <is>
          <t>BEP P2(명)</t>
        </is>
      </c>
      <c r="E31" s="3" t="inlineStr">
        <is>
          <t>기여마진(원)</t>
        </is>
      </c>
      <c r="F31" s="3" t="inlineStr">
        <is>
          <t>BEP P1(명)</t>
        </is>
      </c>
      <c r="G31" s="3" t="inlineStr">
        <is>
          <t>BEP P2(명)</t>
        </is>
      </c>
    </row>
    <row r="32">
      <c r="A32" s="15" t="n">
        <v>30000</v>
      </c>
      <c r="B32" s="6">
        <f>$B$4-$B$5*A32-$B$8</f>
        <v/>
      </c>
      <c r="C32" s="4">
        <f>CEILING($B$22/B32,1)</f>
        <v/>
      </c>
      <c r="D32" s="4">
        <f>CEILING($B$23/B32,1)</f>
        <v/>
      </c>
      <c r="E32" s="6">
        <f>$B$38-$B$39*A32-$B$38*'플랜·마진표'!$B$5</f>
        <v/>
      </c>
      <c r="F32" s="4">
        <f>CEILING($B$22/E32,1)</f>
        <v/>
      </c>
      <c r="G32" s="4">
        <f>CEILING($B$23/E32,1)</f>
        <v/>
      </c>
    </row>
    <row r="33">
      <c r="A33" s="15" t="n">
        <v>32000</v>
      </c>
      <c r="B33" s="6">
        <f>$B$4-$B$5*A33-$B$8</f>
        <v/>
      </c>
      <c r="C33" s="4">
        <f>CEILING($B$22/B33,1)</f>
        <v/>
      </c>
      <c r="D33" s="4">
        <f>CEILING($B$23/B33,1)</f>
        <v/>
      </c>
      <c r="E33" s="6">
        <f>$B$38-$B$39*A33-$B$38*'플랜·마진표'!$B$5</f>
        <v/>
      </c>
      <c r="F33" s="4">
        <f>CEILING($B$22/E33,1)</f>
        <v/>
      </c>
      <c r="G33" s="4">
        <f>CEILING($B$23/E33,1)</f>
        <v/>
      </c>
    </row>
    <row r="34">
      <c r="A34" s="15" t="n">
        <v>34000</v>
      </c>
      <c r="B34" s="6">
        <f>$B$4-$B$5*A34-$B$8</f>
        <v/>
      </c>
      <c r="C34" s="4">
        <f>CEILING($B$22/B34,1)</f>
        <v/>
      </c>
      <c r="D34" s="4">
        <f>CEILING($B$23/B34,1)</f>
        <v/>
      </c>
      <c r="E34" s="6">
        <f>$B$38-$B$39*A34-$B$38*'플랜·마진표'!$B$5</f>
        <v/>
      </c>
      <c r="F34" s="4">
        <f>CEILING($B$22/E34,1)</f>
        <v/>
      </c>
      <c r="G34" s="4">
        <f>CEILING($B$23/E34,1)</f>
        <v/>
      </c>
    </row>
    <row r="35">
      <c r="A35" s="15" t="n">
        <v>40000</v>
      </c>
      <c r="B35" s="6">
        <f>$B$4-$B$5*A35-$B$8</f>
        <v/>
      </c>
      <c r="C35" s="4">
        <f>CEILING($B$22/B35,1)</f>
        <v/>
      </c>
      <c r="D35" s="4">
        <f>CEILING($B$23/B35,1)</f>
        <v/>
      </c>
      <c r="E35" s="6">
        <f>$B$38-$B$39*A35-$B$38*'플랜·마진표'!$B$5</f>
        <v/>
      </c>
      <c r="F35" s="4">
        <f>CEILING($B$22/E35,1)</f>
        <v/>
      </c>
      <c r="G35" s="4">
        <f>CEILING($B$23/E35,1)</f>
        <v/>
      </c>
    </row>
    <row r="38">
      <c r="A38" t="inlineStr">
        <is>
          <t>8플랜 평균 객단가(원)</t>
        </is>
      </c>
      <c r="B38" s="16">
        <f>'플랜·마진표'!C17</f>
        <v/>
      </c>
    </row>
    <row r="39">
      <c r="A39" t="inlineStr">
        <is>
          <t>8플랜 평균 수업 시간(h)</t>
        </is>
      </c>
      <c r="B39">
        <f>'플랜·마진표'!B17</f>
        <v/>
      </c>
    </row>
  </sheetData>
  <mergeCells count="2">
    <mergeCell ref="B30:D30"/>
    <mergeCell ref="E30:G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7" t="inlineStr">
        <is>
          <t>램프업 — 3시나리오 월별 36개월 (2026-07 ~ 2029-06)</t>
        </is>
      </c>
    </row>
    <row r="3">
      <c r="A3" s="2" t="inlineStr">
        <is>
          <t>가정</t>
        </is>
      </c>
    </row>
    <row r="4">
      <c r="A4" t="inlineStr">
        <is>
          <t>객단가(월·원)</t>
        </is>
      </c>
      <c r="B4" s="16">
        <f>BEP!B4</f>
        <v/>
      </c>
      <c r="C4" t="inlineStr">
        <is>
          <t>BEP 시트 가정 연동</t>
        </is>
      </c>
    </row>
    <row r="5">
      <c r="A5" t="inlineStr">
        <is>
          <t>학생 1인 월 기여마진(원)</t>
        </is>
      </c>
      <c r="B5" s="16">
        <f>BEP!B9</f>
        <v/>
      </c>
    </row>
    <row r="7">
      <c r="A7" s="3" t="inlineStr">
        <is>
          <t>반기말 활성 학생 (가정)</t>
        </is>
      </c>
      <c r="B7" s="3" t="inlineStr">
        <is>
          <t>2026 H2</t>
        </is>
      </c>
      <c r="C7" s="3" t="inlineStr">
        <is>
          <t>2027 H1</t>
        </is>
      </c>
      <c r="D7" s="3" t="inlineStr">
        <is>
          <t>2027 H2</t>
        </is>
      </c>
      <c r="E7" s="3" t="inlineStr">
        <is>
          <t>2028 H1</t>
        </is>
      </c>
      <c r="F7" s="3" t="inlineStr">
        <is>
          <t>2028 H2</t>
        </is>
      </c>
      <c r="G7" s="3" t="inlineStr">
        <is>
          <t>2029 H1</t>
        </is>
      </c>
      <c r="H7" s="3" t="n"/>
    </row>
    <row r="8">
      <c r="A8" s="4" t="inlineStr">
        <is>
          <t>보수</t>
        </is>
      </c>
      <c r="B8" s="17" t="n">
        <v>10</v>
      </c>
      <c r="C8" s="17" t="n">
        <v>25</v>
      </c>
      <c r="D8" s="17" t="n">
        <v>45</v>
      </c>
      <c r="E8" s="17" t="n">
        <v>70</v>
      </c>
      <c r="F8" s="17" t="n">
        <v>90</v>
      </c>
      <c r="G8" s="17" t="n">
        <v>110</v>
      </c>
    </row>
    <row r="9">
      <c r="A9" s="4" t="inlineStr">
        <is>
          <t>기본</t>
        </is>
      </c>
      <c r="B9" s="17" t="n">
        <v>15</v>
      </c>
      <c r="C9" s="17" t="n">
        <v>40</v>
      </c>
      <c r="D9" s="17" t="n">
        <v>75</v>
      </c>
      <c r="E9" s="17" t="n">
        <v>115</v>
      </c>
      <c r="F9" s="17" t="n">
        <v>145</v>
      </c>
      <c r="G9" s="17" t="n">
        <v>170</v>
      </c>
    </row>
    <row r="10">
      <c r="A10" s="4" t="inlineStr">
        <is>
          <t>공격</t>
        </is>
      </c>
      <c r="B10" s="17" t="n">
        <v>20</v>
      </c>
      <c r="C10" s="17" t="n">
        <v>55</v>
      </c>
      <c r="D10" s="17" t="n">
        <v>110</v>
      </c>
      <c r="E10" s="17" t="n">
        <v>170</v>
      </c>
      <c r="F10" s="17" t="n">
        <v>220</v>
      </c>
      <c r="G10" s="17" t="n">
        <v>270</v>
      </c>
    </row>
    <row r="13">
      <c r="A13" s="3" t="inlineStr">
        <is>
          <t>월차</t>
        </is>
      </c>
      <c r="B13" s="3" t="inlineStr">
        <is>
          <t>년월</t>
        </is>
      </c>
      <c r="C13" s="3" t="inlineStr">
        <is>
          <t>보수</t>
        </is>
      </c>
      <c r="D13" s="20" t="n"/>
      <c r="E13" s="20" t="n"/>
      <c r="F13" s="20" t="n"/>
      <c r="G13" s="21" t="n"/>
      <c r="H13" s="3" t="inlineStr">
        <is>
          <t>기본</t>
        </is>
      </c>
      <c r="I13" s="20" t="n"/>
      <c r="J13" s="20" t="n"/>
      <c r="K13" s="20" t="n"/>
      <c r="L13" s="21" t="n"/>
      <c r="M13" s="3" t="inlineStr">
        <is>
          <t>공격</t>
        </is>
      </c>
      <c r="N13" s="20" t="n"/>
      <c r="O13" s="20" t="n"/>
      <c r="P13" s="20" t="n"/>
      <c r="Q13" s="21" t="n"/>
    </row>
    <row r="14">
      <c r="A14" s="3" t="n"/>
      <c r="B14" s="3" t="n"/>
      <c r="C14" s="3" t="inlineStr">
        <is>
          <t>활성 학생</t>
        </is>
      </c>
      <c r="D14" s="3" t="inlineStr">
        <is>
          <t>매출(원)</t>
        </is>
      </c>
      <c r="E14" s="3" t="inlineStr">
        <is>
          <t>기여마진(원)</t>
        </is>
      </c>
      <c r="F14" s="3" t="inlineStr">
        <is>
          <t>누적 매출(원)</t>
        </is>
      </c>
      <c r="G14" s="3" t="inlineStr">
        <is>
          <t>누적 기여마진(원)</t>
        </is>
      </c>
      <c r="H14" s="3" t="inlineStr">
        <is>
          <t>활성 학생</t>
        </is>
      </c>
      <c r="I14" s="3" t="inlineStr">
        <is>
          <t>매출(원)</t>
        </is>
      </c>
      <c r="J14" s="3" t="inlineStr">
        <is>
          <t>기여마진(원)</t>
        </is>
      </c>
      <c r="K14" s="3" t="inlineStr">
        <is>
          <t>누적 매출(원)</t>
        </is>
      </c>
      <c r="L14" s="3" t="inlineStr">
        <is>
          <t>누적 기여마진(원)</t>
        </is>
      </c>
      <c r="M14" s="3" t="inlineStr">
        <is>
          <t>활성 학생</t>
        </is>
      </c>
      <c r="N14" s="3" t="inlineStr">
        <is>
          <t>매출(원)</t>
        </is>
      </c>
      <c r="O14" s="3" t="inlineStr">
        <is>
          <t>기여마진(원)</t>
        </is>
      </c>
      <c r="P14" s="3" t="inlineStr">
        <is>
          <t>누적 매출(원)</t>
        </is>
      </c>
      <c r="Q14" s="3" t="inlineStr">
        <is>
          <t>누적 기여마진(원)</t>
        </is>
      </c>
    </row>
    <row r="15">
      <c r="A15" s="4" t="n">
        <v>1</v>
      </c>
      <c r="B15" s="4" t="inlineStr">
        <is>
          <t>2026-07</t>
        </is>
      </c>
      <c r="C15" s="4">
        <f>ROUND(0+(B8-0)*1/6,0)</f>
        <v/>
      </c>
      <c r="D15" s="6">
        <f>C15*$B$4</f>
        <v/>
      </c>
      <c r="E15" s="6">
        <f>C15*$B$5</f>
        <v/>
      </c>
      <c r="F15" s="6">
        <f>D15</f>
        <v/>
      </c>
      <c r="G15" s="6">
        <f>E15</f>
        <v/>
      </c>
      <c r="H15" s="4">
        <f>ROUND(0+(B9-0)*1/6,0)</f>
        <v/>
      </c>
      <c r="I15" s="6">
        <f>H15*$B$4</f>
        <v/>
      </c>
      <c r="J15" s="6">
        <f>H15*$B$5</f>
        <v/>
      </c>
      <c r="K15" s="6">
        <f>I15</f>
        <v/>
      </c>
      <c r="L15" s="6">
        <f>J15</f>
        <v/>
      </c>
      <c r="M15" s="4">
        <f>ROUND(0+(B10-0)*1/6,0)</f>
        <v/>
      </c>
      <c r="N15" s="6">
        <f>M15*$B$4</f>
        <v/>
      </c>
      <c r="O15" s="6">
        <f>M15*$B$5</f>
        <v/>
      </c>
      <c r="P15" s="6">
        <f>N15</f>
        <v/>
      </c>
      <c r="Q15" s="6">
        <f>O15</f>
        <v/>
      </c>
    </row>
    <row r="16">
      <c r="A16" s="4" t="n">
        <v>2</v>
      </c>
      <c r="B16" s="4" t="inlineStr">
        <is>
          <t>2026-08</t>
        </is>
      </c>
      <c r="C16" s="4">
        <f>ROUND(0+(B8-0)*2/6,0)</f>
        <v/>
      </c>
      <c r="D16" s="6">
        <f>C16*$B$4</f>
        <v/>
      </c>
      <c r="E16" s="6">
        <f>C16*$B$5</f>
        <v/>
      </c>
      <c r="F16" s="6">
        <f>F15+D16</f>
        <v/>
      </c>
      <c r="G16" s="6">
        <f>G15+E16</f>
        <v/>
      </c>
      <c r="H16" s="4">
        <f>ROUND(0+(B9-0)*2/6,0)</f>
        <v/>
      </c>
      <c r="I16" s="6">
        <f>H16*$B$4</f>
        <v/>
      </c>
      <c r="J16" s="6">
        <f>H16*$B$5</f>
        <v/>
      </c>
      <c r="K16" s="6">
        <f>K15+I16</f>
        <v/>
      </c>
      <c r="L16" s="6">
        <f>L15+J16</f>
        <v/>
      </c>
      <c r="M16" s="4">
        <f>ROUND(0+(B10-0)*2/6,0)</f>
        <v/>
      </c>
      <c r="N16" s="6">
        <f>M16*$B$4</f>
        <v/>
      </c>
      <c r="O16" s="6">
        <f>M16*$B$5</f>
        <v/>
      </c>
      <c r="P16" s="6">
        <f>P15+N16</f>
        <v/>
      </c>
      <c r="Q16" s="6">
        <f>Q15+O16</f>
        <v/>
      </c>
    </row>
    <row r="17">
      <c r="A17" s="4" t="n">
        <v>3</v>
      </c>
      <c r="B17" s="4" t="inlineStr">
        <is>
          <t>2026-09</t>
        </is>
      </c>
      <c r="C17" s="4">
        <f>ROUND(0+(B8-0)*3/6,0)</f>
        <v/>
      </c>
      <c r="D17" s="6">
        <f>C17*$B$4</f>
        <v/>
      </c>
      <c r="E17" s="6">
        <f>C17*$B$5</f>
        <v/>
      </c>
      <c r="F17" s="6">
        <f>F16+D17</f>
        <v/>
      </c>
      <c r="G17" s="6">
        <f>G16+E17</f>
        <v/>
      </c>
      <c r="H17" s="4">
        <f>ROUND(0+(B9-0)*3/6,0)</f>
        <v/>
      </c>
      <c r="I17" s="6">
        <f>H17*$B$4</f>
        <v/>
      </c>
      <c r="J17" s="6">
        <f>H17*$B$5</f>
        <v/>
      </c>
      <c r="K17" s="6">
        <f>K16+I17</f>
        <v/>
      </c>
      <c r="L17" s="6">
        <f>L16+J17</f>
        <v/>
      </c>
      <c r="M17" s="4">
        <f>ROUND(0+(B10-0)*3/6,0)</f>
        <v/>
      </c>
      <c r="N17" s="6">
        <f>M17*$B$4</f>
        <v/>
      </c>
      <c r="O17" s="6">
        <f>M17*$B$5</f>
        <v/>
      </c>
      <c r="P17" s="6">
        <f>P16+N17</f>
        <v/>
      </c>
      <c r="Q17" s="6">
        <f>Q16+O17</f>
        <v/>
      </c>
    </row>
    <row r="18">
      <c r="A18" s="4" t="n">
        <v>4</v>
      </c>
      <c r="B18" s="4" t="inlineStr">
        <is>
          <t>2026-10</t>
        </is>
      </c>
      <c r="C18" s="4">
        <f>ROUND(0+(B8-0)*4/6,0)</f>
        <v/>
      </c>
      <c r="D18" s="6">
        <f>C18*$B$4</f>
        <v/>
      </c>
      <c r="E18" s="6">
        <f>C18*$B$5</f>
        <v/>
      </c>
      <c r="F18" s="6">
        <f>F17+D18</f>
        <v/>
      </c>
      <c r="G18" s="6">
        <f>G17+E18</f>
        <v/>
      </c>
      <c r="H18" s="4">
        <f>ROUND(0+(B9-0)*4/6,0)</f>
        <v/>
      </c>
      <c r="I18" s="6">
        <f>H18*$B$4</f>
        <v/>
      </c>
      <c r="J18" s="6">
        <f>H18*$B$5</f>
        <v/>
      </c>
      <c r="K18" s="6">
        <f>K17+I18</f>
        <v/>
      </c>
      <c r="L18" s="6">
        <f>L17+J18</f>
        <v/>
      </c>
      <c r="M18" s="4">
        <f>ROUND(0+(B10-0)*4/6,0)</f>
        <v/>
      </c>
      <c r="N18" s="6">
        <f>M18*$B$4</f>
        <v/>
      </c>
      <c r="O18" s="6">
        <f>M18*$B$5</f>
        <v/>
      </c>
      <c r="P18" s="6">
        <f>P17+N18</f>
        <v/>
      </c>
      <c r="Q18" s="6">
        <f>Q17+O18</f>
        <v/>
      </c>
    </row>
    <row r="19">
      <c r="A19" s="4" t="n">
        <v>5</v>
      </c>
      <c r="B19" s="4" t="inlineStr">
        <is>
          <t>2026-11</t>
        </is>
      </c>
      <c r="C19" s="4">
        <f>ROUND(0+(B8-0)*5/6,0)</f>
        <v/>
      </c>
      <c r="D19" s="6">
        <f>C19*$B$4</f>
        <v/>
      </c>
      <c r="E19" s="6">
        <f>C19*$B$5</f>
        <v/>
      </c>
      <c r="F19" s="6">
        <f>F18+D19</f>
        <v/>
      </c>
      <c r="G19" s="6">
        <f>G18+E19</f>
        <v/>
      </c>
      <c r="H19" s="4">
        <f>ROUND(0+(B9-0)*5/6,0)</f>
        <v/>
      </c>
      <c r="I19" s="6">
        <f>H19*$B$4</f>
        <v/>
      </c>
      <c r="J19" s="6">
        <f>H19*$B$5</f>
        <v/>
      </c>
      <c r="K19" s="6">
        <f>K18+I19</f>
        <v/>
      </c>
      <c r="L19" s="6">
        <f>L18+J19</f>
        <v/>
      </c>
      <c r="M19" s="4">
        <f>ROUND(0+(B10-0)*5/6,0)</f>
        <v/>
      </c>
      <c r="N19" s="6">
        <f>M19*$B$4</f>
        <v/>
      </c>
      <c r="O19" s="6">
        <f>M19*$B$5</f>
        <v/>
      </c>
      <c r="P19" s="6">
        <f>P18+N19</f>
        <v/>
      </c>
      <c r="Q19" s="6">
        <f>Q18+O19</f>
        <v/>
      </c>
    </row>
    <row r="20">
      <c r="A20" s="4" t="n">
        <v>6</v>
      </c>
      <c r="B20" s="4" t="inlineStr">
        <is>
          <t>2026-12</t>
        </is>
      </c>
      <c r="C20" s="4">
        <f>ROUND(0+(B8-0)*6/6,0)</f>
        <v/>
      </c>
      <c r="D20" s="6">
        <f>C20*$B$4</f>
        <v/>
      </c>
      <c r="E20" s="6">
        <f>C20*$B$5</f>
        <v/>
      </c>
      <c r="F20" s="6">
        <f>F19+D20</f>
        <v/>
      </c>
      <c r="G20" s="6">
        <f>G19+E20</f>
        <v/>
      </c>
      <c r="H20" s="4">
        <f>ROUND(0+(B9-0)*6/6,0)</f>
        <v/>
      </c>
      <c r="I20" s="6">
        <f>H20*$B$4</f>
        <v/>
      </c>
      <c r="J20" s="6">
        <f>H20*$B$5</f>
        <v/>
      </c>
      <c r="K20" s="6">
        <f>K19+I20</f>
        <v/>
      </c>
      <c r="L20" s="6">
        <f>L19+J20</f>
        <v/>
      </c>
      <c r="M20" s="4">
        <f>ROUND(0+(B10-0)*6/6,0)</f>
        <v/>
      </c>
      <c r="N20" s="6">
        <f>M20*$B$4</f>
        <v/>
      </c>
      <c r="O20" s="6">
        <f>M20*$B$5</f>
        <v/>
      </c>
      <c r="P20" s="6">
        <f>P19+N20</f>
        <v/>
      </c>
      <c r="Q20" s="6">
        <f>Q19+O20</f>
        <v/>
      </c>
    </row>
    <row r="21">
      <c r="A21" s="4" t="n">
        <v>7</v>
      </c>
      <c r="B21" s="4" t="inlineStr">
        <is>
          <t>2027-01</t>
        </is>
      </c>
      <c r="C21" s="4">
        <f>ROUND(B8+(C8-B8)*1/6,0)</f>
        <v/>
      </c>
      <c r="D21" s="6">
        <f>C21*$B$4</f>
        <v/>
      </c>
      <c r="E21" s="6">
        <f>C21*$B$5</f>
        <v/>
      </c>
      <c r="F21" s="6">
        <f>F20+D21</f>
        <v/>
      </c>
      <c r="G21" s="6">
        <f>G20+E21</f>
        <v/>
      </c>
      <c r="H21" s="4">
        <f>ROUND(B9+(C9-B9)*1/6,0)</f>
        <v/>
      </c>
      <c r="I21" s="6">
        <f>H21*$B$4</f>
        <v/>
      </c>
      <c r="J21" s="6">
        <f>H21*$B$5</f>
        <v/>
      </c>
      <c r="K21" s="6">
        <f>K20+I21</f>
        <v/>
      </c>
      <c r="L21" s="6">
        <f>L20+J21</f>
        <v/>
      </c>
      <c r="M21" s="4">
        <f>ROUND(B10+(C10-B10)*1/6,0)</f>
        <v/>
      </c>
      <c r="N21" s="6">
        <f>M21*$B$4</f>
        <v/>
      </c>
      <c r="O21" s="6">
        <f>M21*$B$5</f>
        <v/>
      </c>
      <c r="P21" s="6">
        <f>P20+N21</f>
        <v/>
      </c>
      <c r="Q21" s="6">
        <f>Q20+O21</f>
        <v/>
      </c>
    </row>
    <row r="22">
      <c r="A22" s="4" t="n">
        <v>8</v>
      </c>
      <c r="B22" s="4" t="inlineStr">
        <is>
          <t>2027-02</t>
        </is>
      </c>
      <c r="C22" s="4">
        <f>ROUND(B8+(C8-B8)*2/6,0)</f>
        <v/>
      </c>
      <c r="D22" s="6">
        <f>C22*$B$4</f>
        <v/>
      </c>
      <c r="E22" s="6">
        <f>C22*$B$5</f>
        <v/>
      </c>
      <c r="F22" s="6">
        <f>F21+D22</f>
        <v/>
      </c>
      <c r="G22" s="6">
        <f>G21+E22</f>
        <v/>
      </c>
      <c r="H22" s="4">
        <f>ROUND(B9+(C9-B9)*2/6,0)</f>
        <v/>
      </c>
      <c r="I22" s="6">
        <f>H22*$B$4</f>
        <v/>
      </c>
      <c r="J22" s="6">
        <f>H22*$B$5</f>
        <v/>
      </c>
      <c r="K22" s="6">
        <f>K21+I22</f>
        <v/>
      </c>
      <c r="L22" s="6">
        <f>L21+J22</f>
        <v/>
      </c>
      <c r="M22" s="4">
        <f>ROUND(B10+(C10-B10)*2/6,0)</f>
        <v/>
      </c>
      <c r="N22" s="6">
        <f>M22*$B$4</f>
        <v/>
      </c>
      <c r="O22" s="6">
        <f>M22*$B$5</f>
        <v/>
      </c>
      <c r="P22" s="6">
        <f>P21+N22</f>
        <v/>
      </c>
      <c r="Q22" s="6">
        <f>Q21+O22</f>
        <v/>
      </c>
    </row>
    <row r="23">
      <c r="A23" s="4" t="n">
        <v>9</v>
      </c>
      <c r="B23" s="4" t="inlineStr">
        <is>
          <t>2027-03</t>
        </is>
      </c>
      <c r="C23" s="4">
        <f>ROUND(B8+(C8-B8)*3/6,0)</f>
        <v/>
      </c>
      <c r="D23" s="6">
        <f>C23*$B$4</f>
        <v/>
      </c>
      <c r="E23" s="6">
        <f>C23*$B$5</f>
        <v/>
      </c>
      <c r="F23" s="6">
        <f>F22+D23</f>
        <v/>
      </c>
      <c r="G23" s="6">
        <f>G22+E23</f>
        <v/>
      </c>
      <c r="H23" s="4">
        <f>ROUND(B9+(C9-B9)*3/6,0)</f>
        <v/>
      </c>
      <c r="I23" s="6">
        <f>H23*$B$4</f>
        <v/>
      </c>
      <c r="J23" s="6">
        <f>H23*$B$5</f>
        <v/>
      </c>
      <c r="K23" s="6">
        <f>K22+I23</f>
        <v/>
      </c>
      <c r="L23" s="6">
        <f>L22+J23</f>
        <v/>
      </c>
      <c r="M23" s="4">
        <f>ROUND(B10+(C10-B10)*3/6,0)</f>
        <v/>
      </c>
      <c r="N23" s="6">
        <f>M23*$B$4</f>
        <v/>
      </c>
      <c r="O23" s="6">
        <f>M23*$B$5</f>
        <v/>
      </c>
      <c r="P23" s="6">
        <f>P22+N23</f>
        <v/>
      </c>
      <c r="Q23" s="6">
        <f>Q22+O23</f>
        <v/>
      </c>
    </row>
    <row r="24">
      <c r="A24" s="4" t="n">
        <v>10</v>
      </c>
      <c r="B24" s="4" t="inlineStr">
        <is>
          <t>2027-04</t>
        </is>
      </c>
      <c r="C24" s="4">
        <f>ROUND(B8+(C8-B8)*4/6,0)</f>
        <v/>
      </c>
      <c r="D24" s="6">
        <f>C24*$B$4</f>
        <v/>
      </c>
      <c r="E24" s="6">
        <f>C24*$B$5</f>
        <v/>
      </c>
      <c r="F24" s="6">
        <f>F23+D24</f>
        <v/>
      </c>
      <c r="G24" s="6">
        <f>G23+E24</f>
        <v/>
      </c>
      <c r="H24" s="4">
        <f>ROUND(B9+(C9-B9)*4/6,0)</f>
        <v/>
      </c>
      <c r="I24" s="6">
        <f>H24*$B$4</f>
        <v/>
      </c>
      <c r="J24" s="6">
        <f>H24*$B$5</f>
        <v/>
      </c>
      <c r="K24" s="6">
        <f>K23+I24</f>
        <v/>
      </c>
      <c r="L24" s="6">
        <f>L23+J24</f>
        <v/>
      </c>
      <c r="M24" s="4">
        <f>ROUND(B10+(C10-B10)*4/6,0)</f>
        <v/>
      </c>
      <c r="N24" s="6">
        <f>M24*$B$4</f>
        <v/>
      </c>
      <c r="O24" s="6">
        <f>M24*$B$5</f>
        <v/>
      </c>
      <c r="P24" s="6">
        <f>P23+N24</f>
        <v/>
      </c>
      <c r="Q24" s="6">
        <f>Q23+O24</f>
        <v/>
      </c>
    </row>
    <row r="25">
      <c r="A25" s="4" t="n">
        <v>11</v>
      </c>
      <c r="B25" s="4" t="inlineStr">
        <is>
          <t>2027-05</t>
        </is>
      </c>
      <c r="C25" s="4">
        <f>ROUND(B8+(C8-B8)*5/6,0)</f>
        <v/>
      </c>
      <c r="D25" s="6">
        <f>C25*$B$4</f>
        <v/>
      </c>
      <c r="E25" s="6">
        <f>C25*$B$5</f>
        <v/>
      </c>
      <c r="F25" s="6">
        <f>F24+D25</f>
        <v/>
      </c>
      <c r="G25" s="6">
        <f>G24+E25</f>
        <v/>
      </c>
      <c r="H25" s="4">
        <f>ROUND(B9+(C9-B9)*5/6,0)</f>
        <v/>
      </c>
      <c r="I25" s="6">
        <f>H25*$B$4</f>
        <v/>
      </c>
      <c r="J25" s="6">
        <f>H25*$B$5</f>
        <v/>
      </c>
      <c r="K25" s="6">
        <f>K24+I25</f>
        <v/>
      </c>
      <c r="L25" s="6">
        <f>L24+J25</f>
        <v/>
      </c>
      <c r="M25" s="4">
        <f>ROUND(B10+(C10-B10)*5/6,0)</f>
        <v/>
      </c>
      <c r="N25" s="6">
        <f>M25*$B$4</f>
        <v/>
      </c>
      <c r="O25" s="6">
        <f>M25*$B$5</f>
        <v/>
      </c>
      <c r="P25" s="6">
        <f>P24+N25</f>
        <v/>
      </c>
      <c r="Q25" s="6">
        <f>Q24+O25</f>
        <v/>
      </c>
    </row>
    <row r="26">
      <c r="A26" s="4" t="n">
        <v>12</v>
      </c>
      <c r="B26" s="4" t="inlineStr">
        <is>
          <t>2027-06</t>
        </is>
      </c>
      <c r="C26" s="4">
        <f>ROUND(B8+(C8-B8)*6/6,0)</f>
        <v/>
      </c>
      <c r="D26" s="6">
        <f>C26*$B$4</f>
        <v/>
      </c>
      <c r="E26" s="6">
        <f>C26*$B$5</f>
        <v/>
      </c>
      <c r="F26" s="6">
        <f>F25+D26</f>
        <v/>
      </c>
      <c r="G26" s="6">
        <f>G25+E26</f>
        <v/>
      </c>
      <c r="H26" s="4">
        <f>ROUND(B9+(C9-B9)*6/6,0)</f>
        <v/>
      </c>
      <c r="I26" s="6">
        <f>H26*$B$4</f>
        <v/>
      </c>
      <c r="J26" s="6">
        <f>H26*$B$5</f>
        <v/>
      </c>
      <c r="K26" s="6">
        <f>K25+I26</f>
        <v/>
      </c>
      <c r="L26" s="6">
        <f>L25+J26</f>
        <v/>
      </c>
      <c r="M26" s="4">
        <f>ROUND(B10+(C10-B10)*6/6,0)</f>
        <v/>
      </c>
      <c r="N26" s="6">
        <f>M26*$B$4</f>
        <v/>
      </c>
      <c r="O26" s="6">
        <f>M26*$B$5</f>
        <v/>
      </c>
      <c r="P26" s="6">
        <f>P25+N26</f>
        <v/>
      </c>
      <c r="Q26" s="6">
        <f>Q25+O26</f>
        <v/>
      </c>
    </row>
    <row r="27">
      <c r="A27" s="4" t="n">
        <v>13</v>
      </c>
      <c r="B27" s="4" t="inlineStr">
        <is>
          <t>2027-07</t>
        </is>
      </c>
      <c r="C27" s="4">
        <f>ROUND(C8+(D8-C8)*1/6,0)</f>
        <v/>
      </c>
      <c r="D27" s="6">
        <f>C27*$B$4</f>
        <v/>
      </c>
      <c r="E27" s="6">
        <f>C27*$B$5</f>
        <v/>
      </c>
      <c r="F27" s="6">
        <f>F26+D27</f>
        <v/>
      </c>
      <c r="G27" s="6">
        <f>G26+E27</f>
        <v/>
      </c>
      <c r="H27" s="4">
        <f>ROUND(C9+(D9-C9)*1/6,0)</f>
        <v/>
      </c>
      <c r="I27" s="6">
        <f>H27*$B$4</f>
        <v/>
      </c>
      <c r="J27" s="6">
        <f>H27*$B$5</f>
        <v/>
      </c>
      <c r="K27" s="6">
        <f>K26+I27</f>
        <v/>
      </c>
      <c r="L27" s="6">
        <f>L26+J27</f>
        <v/>
      </c>
      <c r="M27" s="4">
        <f>ROUND(C10+(D10-C10)*1/6,0)</f>
        <v/>
      </c>
      <c r="N27" s="6">
        <f>M27*$B$4</f>
        <v/>
      </c>
      <c r="O27" s="6">
        <f>M27*$B$5</f>
        <v/>
      </c>
      <c r="P27" s="6">
        <f>P26+N27</f>
        <v/>
      </c>
      <c r="Q27" s="6">
        <f>Q26+O27</f>
        <v/>
      </c>
    </row>
    <row r="28">
      <c r="A28" s="4" t="n">
        <v>14</v>
      </c>
      <c r="B28" s="4" t="inlineStr">
        <is>
          <t>2027-08</t>
        </is>
      </c>
      <c r="C28" s="4">
        <f>ROUND(C8+(D8-C8)*2/6,0)</f>
        <v/>
      </c>
      <c r="D28" s="6">
        <f>C28*$B$4</f>
        <v/>
      </c>
      <c r="E28" s="6">
        <f>C28*$B$5</f>
        <v/>
      </c>
      <c r="F28" s="6">
        <f>F27+D28</f>
        <v/>
      </c>
      <c r="G28" s="6">
        <f>G27+E28</f>
        <v/>
      </c>
      <c r="H28" s="4">
        <f>ROUND(C9+(D9-C9)*2/6,0)</f>
        <v/>
      </c>
      <c r="I28" s="6">
        <f>H28*$B$4</f>
        <v/>
      </c>
      <c r="J28" s="6">
        <f>H28*$B$5</f>
        <v/>
      </c>
      <c r="K28" s="6">
        <f>K27+I28</f>
        <v/>
      </c>
      <c r="L28" s="6">
        <f>L27+J28</f>
        <v/>
      </c>
      <c r="M28" s="4">
        <f>ROUND(C10+(D10-C10)*2/6,0)</f>
        <v/>
      </c>
      <c r="N28" s="6">
        <f>M28*$B$4</f>
        <v/>
      </c>
      <c r="O28" s="6">
        <f>M28*$B$5</f>
        <v/>
      </c>
      <c r="P28" s="6">
        <f>P27+N28</f>
        <v/>
      </c>
      <c r="Q28" s="6">
        <f>Q27+O28</f>
        <v/>
      </c>
    </row>
    <row r="29">
      <c r="A29" s="4" t="n">
        <v>15</v>
      </c>
      <c r="B29" s="4" t="inlineStr">
        <is>
          <t>2027-09</t>
        </is>
      </c>
      <c r="C29" s="4">
        <f>ROUND(C8+(D8-C8)*3/6,0)</f>
        <v/>
      </c>
      <c r="D29" s="6">
        <f>C29*$B$4</f>
        <v/>
      </c>
      <c r="E29" s="6">
        <f>C29*$B$5</f>
        <v/>
      </c>
      <c r="F29" s="6">
        <f>F28+D29</f>
        <v/>
      </c>
      <c r="G29" s="6">
        <f>G28+E29</f>
        <v/>
      </c>
      <c r="H29" s="4">
        <f>ROUND(C9+(D9-C9)*3/6,0)</f>
        <v/>
      </c>
      <c r="I29" s="6">
        <f>H29*$B$4</f>
        <v/>
      </c>
      <c r="J29" s="6">
        <f>H29*$B$5</f>
        <v/>
      </c>
      <c r="K29" s="6">
        <f>K28+I29</f>
        <v/>
      </c>
      <c r="L29" s="6">
        <f>L28+J29</f>
        <v/>
      </c>
      <c r="M29" s="4">
        <f>ROUND(C10+(D10-C10)*3/6,0)</f>
        <v/>
      </c>
      <c r="N29" s="6">
        <f>M29*$B$4</f>
        <v/>
      </c>
      <c r="O29" s="6">
        <f>M29*$B$5</f>
        <v/>
      </c>
      <c r="P29" s="6">
        <f>P28+N29</f>
        <v/>
      </c>
      <c r="Q29" s="6">
        <f>Q28+O29</f>
        <v/>
      </c>
    </row>
    <row r="30">
      <c r="A30" s="4" t="n">
        <v>16</v>
      </c>
      <c r="B30" s="4" t="inlineStr">
        <is>
          <t>2027-10</t>
        </is>
      </c>
      <c r="C30" s="4">
        <f>ROUND(C8+(D8-C8)*4/6,0)</f>
        <v/>
      </c>
      <c r="D30" s="6">
        <f>C30*$B$4</f>
        <v/>
      </c>
      <c r="E30" s="6">
        <f>C30*$B$5</f>
        <v/>
      </c>
      <c r="F30" s="6">
        <f>F29+D30</f>
        <v/>
      </c>
      <c r="G30" s="6">
        <f>G29+E30</f>
        <v/>
      </c>
      <c r="H30" s="4">
        <f>ROUND(C9+(D9-C9)*4/6,0)</f>
        <v/>
      </c>
      <c r="I30" s="6">
        <f>H30*$B$4</f>
        <v/>
      </c>
      <c r="J30" s="6">
        <f>H30*$B$5</f>
        <v/>
      </c>
      <c r="K30" s="6">
        <f>K29+I30</f>
        <v/>
      </c>
      <c r="L30" s="6">
        <f>L29+J30</f>
        <v/>
      </c>
      <c r="M30" s="4">
        <f>ROUND(C10+(D10-C10)*4/6,0)</f>
        <v/>
      </c>
      <c r="N30" s="6">
        <f>M30*$B$4</f>
        <v/>
      </c>
      <c r="O30" s="6">
        <f>M30*$B$5</f>
        <v/>
      </c>
      <c r="P30" s="6">
        <f>P29+N30</f>
        <v/>
      </c>
      <c r="Q30" s="6">
        <f>Q29+O30</f>
        <v/>
      </c>
    </row>
    <row r="31">
      <c r="A31" s="4" t="n">
        <v>17</v>
      </c>
      <c r="B31" s="4" t="inlineStr">
        <is>
          <t>2027-11</t>
        </is>
      </c>
      <c r="C31" s="4">
        <f>ROUND(C8+(D8-C8)*5/6,0)</f>
        <v/>
      </c>
      <c r="D31" s="6">
        <f>C31*$B$4</f>
        <v/>
      </c>
      <c r="E31" s="6">
        <f>C31*$B$5</f>
        <v/>
      </c>
      <c r="F31" s="6">
        <f>F30+D31</f>
        <v/>
      </c>
      <c r="G31" s="6">
        <f>G30+E31</f>
        <v/>
      </c>
      <c r="H31" s="4">
        <f>ROUND(C9+(D9-C9)*5/6,0)</f>
        <v/>
      </c>
      <c r="I31" s="6">
        <f>H31*$B$4</f>
        <v/>
      </c>
      <c r="J31" s="6">
        <f>H31*$B$5</f>
        <v/>
      </c>
      <c r="K31" s="6">
        <f>K30+I31</f>
        <v/>
      </c>
      <c r="L31" s="6">
        <f>L30+J31</f>
        <v/>
      </c>
      <c r="M31" s="4">
        <f>ROUND(C10+(D10-C10)*5/6,0)</f>
        <v/>
      </c>
      <c r="N31" s="6">
        <f>M31*$B$4</f>
        <v/>
      </c>
      <c r="O31" s="6">
        <f>M31*$B$5</f>
        <v/>
      </c>
      <c r="P31" s="6">
        <f>P30+N31</f>
        <v/>
      </c>
      <c r="Q31" s="6">
        <f>Q30+O31</f>
        <v/>
      </c>
    </row>
    <row r="32">
      <c r="A32" s="4" t="n">
        <v>18</v>
      </c>
      <c r="B32" s="4" t="inlineStr">
        <is>
          <t>2027-12</t>
        </is>
      </c>
      <c r="C32" s="4">
        <f>ROUND(C8+(D8-C8)*6/6,0)</f>
        <v/>
      </c>
      <c r="D32" s="6">
        <f>C32*$B$4</f>
        <v/>
      </c>
      <c r="E32" s="6">
        <f>C32*$B$5</f>
        <v/>
      </c>
      <c r="F32" s="6">
        <f>F31+D32</f>
        <v/>
      </c>
      <c r="G32" s="6">
        <f>G31+E32</f>
        <v/>
      </c>
      <c r="H32" s="4">
        <f>ROUND(C9+(D9-C9)*6/6,0)</f>
        <v/>
      </c>
      <c r="I32" s="6">
        <f>H32*$B$4</f>
        <v/>
      </c>
      <c r="J32" s="6">
        <f>H32*$B$5</f>
        <v/>
      </c>
      <c r="K32" s="6">
        <f>K31+I32</f>
        <v/>
      </c>
      <c r="L32" s="6">
        <f>L31+J32</f>
        <v/>
      </c>
      <c r="M32" s="4">
        <f>ROUND(C10+(D10-C10)*6/6,0)</f>
        <v/>
      </c>
      <c r="N32" s="6">
        <f>M32*$B$4</f>
        <v/>
      </c>
      <c r="O32" s="6">
        <f>M32*$B$5</f>
        <v/>
      </c>
      <c r="P32" s="6">
        <f>P31+N32</f>
        <v/>
      </c>
      <c r="Q32" s="6">
        <f>Q31+O32</f>
        <v/>
      </c>
    </row>
    <row r="33">
      <c r="A33" s="4" t="n">
        <v>19</v>
      </c>
      <c r="B33" s="4" t="inlineStr">
        <is>
          <t>2028-01</t>
        </is>
      </c>
      <c r="C33" s="4">
        <f>ROUND(D8+(E8-D8)*1/6,0)</f>
        <v/>
      </c>
      <c r="D33" s="6">
        <f>C33*$B$4</f>
        <v/>
      </c>
      <c r="E33" s="6">
        <f>C33*$B$5</f>
        <v/>
      </c>
      <c r="F33" s="6">
        <f>F32+D33</f>
        <v/>
      </c>
      <c r="G33" s="6">
        <f>G32+E33</f>
        <v/>
      </c>
      <c r="H33" s="4">
        <f>ROUND(D9+(E9-D9)*1/6,0)</f>
        <v/>
      </c>
      <c r="I33" s="6">
        <f>H33*$B$4</f>
        <v/>
      </c>
      <c r="J33" s="6">
        <f>H33*$B$5</f>
        <v/>
      </c>
      <c r="K33" s="6">
        <f>K32+I33</f>
        <v/>
      </c>
      <c r="L33" s="6">
        <f>L32+J33</f>
        <v/>
      </c>
      <c r="M33" s="4">
        <f>ROUND(D10+(E10-D10)*1/6,0)</f>
        <v/>
      </c>
      <c r="N33" s="6">
        <f>M33*$B$4</f>
        <v/>
      </c>
      <c r="O33" s="6">
        <f>M33*$B$5</f>
        <v/>
      </c>
      <c r="P33" s="6">
        <f>P32+N33</f>
        <v/>
      </c>
      <c r="Q33" s="6">
        <f>Q32+O33</f>
        <v/>
      </c>
    </row>
    <row r="34">
      <c r="A34" s="4" t="n">
        <v>20</v>
      </c>
      <c r="B34" s="4" t="inlineStr">
        <is>
          <t>2028-02</t>
        </is>
      </c>
      <c r="C34" s="4">
        <f>ROUND(D8+(E8-D8)*2/6,0)</f>
        <v/>
      </c>
      <c r="D34" s="6">
        <f>C34*$B$4</f>
        <v/>
      </c>
      <c r="E34" s="6">
        <f>C34*$B$5</f>
        <v/>
      </c>
      <c r="F34" s="6">
        <f>F33+D34</f>
        <v/>
      </c>
      <c r="G34" s="6">
        <f>G33+E34</f>
        <v/>
      </c>
      <c r="H34" s="4">
        <f>ROUND(D9+(E9-D9)*2/6,0)</f>
        <v/>
      </c>
      <c r="I34" s="6">
        <f>H34*$B$4</f>
        <v/>
      </c>
      <c r="J34" s="6">
        <f>H34*$B$5</f>
        <v/>
      </c>
      <c r="K34" s="6">
        <f>K33+I34</f>
        <v/>
      </c>
      <c r="L34" s="6">
        <f>L33+J34</f>
        <v/>
      </c>
      <c r="M34" s="4">
        <f>ROUND(D10+(E10-D10)*2/6,0)</f>
        <v/>
      </c>
      <c r="N34" s="6">
        <f>M34*$B$4</f>
        <v/>
      </c>
      <c r="O34" s="6">
        <f>M34*$B$5</f>
        <v/>
      </c>
      <c r="P34" s="6">
        <f>P33+N34</f>
        <v/>
      </c>
      <c r="Q34" s="6">
        <f>Q33+O34</f>
        <v/>
      </c>
    </row>
    <row r="35">
      <c r="A35" s="4" t="n">
        <v>21</v>
      </c>
      <c r="B35" s="4" t="inlineStr">
        <is>
          <t>2028-03</t>
        </is>
      </c>
      <c r="C35" s="4">
        <f>ROUND(D8+(E8-D8)*3/6,0)</f>
        <v/>
      </c>
      <c r="D35" s="6">
        <f>C35*$B$4</f>
        <v/>
      </c>
      <c r="E35" s="6">
        <f>C35*$B$5</f>
        <v/>
      </c>
      <c r="F35" s="6">
        <f>F34+D35</f>
        <v/>
      </c>
      <c r="G35" s="6">
        <f>G34+E35</f>
        <v/>
      </c>
      <c r="H35" s="4">
        <f>ROUND(D9+(E9-D9)*3/6,0)</f>
        <v/>
      </c>
      <c r="I35" s="6">
        <f>H35*$B$4</f>
        <v/>
      </c>
      <c r="J35" s="6">
        <f>H35*$B$5</f>
        <v/>
      </c>
      <c r="K35" s="6">
        <f>K34+I35</f>
        <v/>
      </c>
      <c r="L35" s="6">
        <f>L34+J35</f>
        <v/>
      </c>
      <c r="M35" s="4">
        <f>ROUND(D10+(E10-D10)*3/6,0)</f>
        <v/>
      </c>
      <c r="N35" s="6">
        <f>M35*$B$4</f>
        <v/>
      </c>
      <c r="O35" s="6">
        <f>M35*$B$5</f>
        <v/>
      </c>
      <c r="P35" s="6">
        <f>P34+N35</f>
        <v/>
      </c>
      <c r="Q35" s="6">
        <f>Q34+O35</f>
        <v/>
      </c>
    </row>
    <row r="36">
      <c r="A36" s="4" t="n">
        <v>22</v>
      </c>
      <c r="B36" s="4" t="inlineStr">
        <is>
          <t>2028-04</t>
        </is>
      </c>
      <c r="C36" s="4">
        <f>ROUND(D8+(E8-D8)*4/6,0)</f>
        <v/>
      </c>
      <c r="D36" s="6">
        <f>C36*$B$4</f>
        <v/>
      </c>
      <c r="E36" s="6">
        <f>C36*$B$5</f>
        <v/>
      </c>
      <c r="F36" s="6">
        <f>F35+D36</f>
        <v/>
      </c>
      <c r="G36" s="6">
        <f>G35+E36</f>
        <v/>
      </c>
      <c r="H36" s="4">
        <f>ROUND(D9+(E9-D9)*4/6,0)</f>
        <v/>
      </c>
      <c r="I36" s="6">
        <f>H36*$B$4</f>
        <v/>
      </c>
      <c r="J36" s="6">
        <f>H36*$B$5</f>
        <v/>
      </c>
      <c r="K36" s="6">
        <f>K35+I36</f>
        <v/>
      </c>
      <c r="L36" s="6">
        <f>L35+J36</f>
        <v/>
      </c>
      <c r="M36" s="4">
        <f>ROUND(D10+(E10-D10)*4/6,0)</f>
        <v/>
      </c>
      <c r="N36" s="6">
        <f>M36*$B$4</f>
        <v/>
      </c>
      <c r="O36" s="6">
        <f>M36*$B$5</f>
        <v/>
      </c>
      <c r="P36" s="6">
        <f>P35+N36</f>
        <v/>
      </c>
      <c r="Q36" s="6">
        <f>Q35+O36</f>
        <v/>
      </c>
    </row>
    <row r="37">
      <c r="A37" s="4" t="n">
        <v>23</v>
      </c>
      <c r="B37" s="4" t="inlineStr">
        <is>
          <t>2028-05</t>
        </is>
      </c>
      <c r="C37" s="4">
        <f>ROUND(D8+(E8-D8)*5/6,0)</f>
        <v/>
      </c>
      <c r="D37" s="6">
        <f>C37*$B$4</f>
        <v/>
      </c>
      <c r="E37" s="6">
        <f>C37*$B$5</f>
        <v/>
      </c>
      <c r="F37" s="6">
        <f>F36+D37</f>
        <v/>
      </c>
      <c r="G37" s="6">
        <f>G36+E37</f>
        <v/>
      </c>
      <c r="H37" s="4">
        <f>ROUND(D9+(E9-D9)*5/6,0)</f>
        <v/>
      </c>
      <c r="I37" s="6">
        <f>H37*$B$4</f>
        <v/>
      </c>
      <c r="J37" s="6">
        <f>H37*$B$5</f>
        <v/>
      </c>
      <c r="K37" s="6">
        <f>K36+I37</f>
        <v/>
      </c>
      <c r="L37" s="6">
        <f>L36+J37</f>
        <v/>
      </c>
      <c r="M37" s="4">
        <f>ROUND(D10+(E10-D10)*5/6,0)</f>
        <v/>
      </c>
      <c r="N37" s="6">
        <f>M37*$B$4</f>
        <v/>
      </c>
      <c r="O37" s="6">
        <f>M37*$B$5</f>
        <v/>
      </c>
      <c r="P37" s="6">
        <f>P36+N37</f>
        <v/>
      </c>
      <c r="Q37" s="6">
        <f>Q36+O37</f>
        <v/>
      </c>
    </row>
    <row r="38">
      <c r="A38" s="4" t="n">
        <v>24</v>
      </c>
      <c r="B38" s="4" t="inlineStr">
        <is>
          <t>2028-06</t>
        </is>
      </c>
      <c r="C38" s="4">
        <f>ROUND(D8+(E8-D8)*6/6,0)</f>
        <v/>
      </c>
      <c r="D38" s="6">
        <f>C38*$B$4</f>
        <v/>
      </c>
      <c r="E38" s="6">
        <f>C38*$B$5</f>
        <v/>
      </c>
      <c r="F38" s="6">
        <f>F37+D38</f>
        <v/>
      </c>
      <c r="G38" s="6">
        <f>G37+E38</f>
        <v/>
      </c>
      <c r="H38" s="4">
        <f>ROUND(D9+(E9-D9)*6/6,0)</f>
        <v/>
      </c>
      <c r="I38" s="6">
        <f>H38*$B$4</f>
        <v/>
      </c>
      <c r="J38" s="6">
        <f>H38*$B$5</f>
        <v/>
      </c>
      <c r="K38" s="6">
        <f>K37+I38</f>
        <v/>
      </c>
      <c r="L38" s="6">
        <f>L37+J38</f>
        <v/>
      </c>
      <c r="M38" s="4">
        <f>ROUND(D10+(E10-D10)*6/6,0)</f>
        <v/>
      </c>
      <c r="N38" s="6">
        <f>M38*$B$4</f>
        <v/>
      </c>
      <c r="O38" s="6">
        <f>M38*$B$5</f>
        <v/>
      </c>
      <c r="P38" s="6">
        <f>P37+N38</f>
        <v/>
      </c>
      <c r="Q38" s="6">
        <f>Q37+O38</f>
        <v/>
      </c>
    </row>
    <row r="39">
      <c r="A39" s="4" t="n">
        <v>25</v>
      </c>
      <c r="B39" s="4" t="inlineStr">
        <is>
          <t>2028-07</t>
        </is>
      </c>
      <c r="C39" s="4">
        <f>ROUND(E8+(F8-E8)*1/6,0)</f>
        <v/>
      </c>
      <c r="D39" s="6">
        <f>C39*$B$4</f>
        <v/>
      </c>
      <c r="E39" s="6">
        <f>C39*$B$5</f>
        <v/>
      </c>
      <c r="F39" s="6">
        <f>F38+D39</f>
        <v/>
      </c>
      <c r="G39" s="6">
        <f>G38+E39</f>
        <v/>
      </c>
      <c r="H39" s="4">
        <f>ROUND(E9+(F9-E9)*1/6,0)</f>
        <v/>
      </c>
      <c r="I39" s="6">
        <f>H39*$B$4</f>
        <v/>
      </c>
      <c r="J39" s="6">
        <f>H39*$B$5</f>
        <v/>
      </c>
      <c r="K39" s="6">
        <f>K38+I39</f>
        <v/>
      </c>
      <c r="L39" s="6">
        <f>L38+J39</f>
        <v/>
      </c>
      <c r="M39" s="4">
        <f>ROUND(E10+(F10-E10)*1/6,0)</f>
        <v/>
      </c>
      <c r="N39" s="6">
        <f>M39*$B$4</f>
        <v/>
      </c>
      <c r="O39" s="6">
        <f>M39*$B$5</f>
        <v/>
      </c>
      <c r="P39" s="6">
        <f>P38+N39</f>
        <v/>
      </c>
      <c r="Q39" s="6">
        <f>Q38+O39</f>
        <v/>
      </c>
    </row>
    <row r="40">
      <c r="A40" s="4" t="n">
        <v>26</v>
      </c>
      <c r="B40" s="4" t="inlineStr">
        <is>
          <t>2028-08</t>
        </is>
      </c>
      <c r="C40" s="4">
        <f>ROUND(E8+(F8-E8)*2/6,0)</f>
        <v/>
      </c>
      <c r="D40" s="6">
        <f>C40*$B$4</f>
        <v/>
      </c>
      <c r="E40" s="6">
        <f>C40*$B$5</f>
        <v/>
      </c>
      <c r="F40" s="6">
        <f>F39+D40</f>
        <v/>
      </c>
      <c r="G40" s="6">
        <f>G39+E40</f>
        <v/>
      </c>
      <c r="H40" s="4">
        <f>ROUND(E9+(F9-E9)*2/6,0)</f>
        <v/>
      </c>
      <c r="I40" s="6">
        <f>H40*$B$4</f>
        <v/>
      </c>
      <c r="J40" s="6">
        <f>H40*$B$5</f>
        <v/>
      </c>
      <c r="K40" s="6">
        <f>K39+I40</f>
        <v/>
      </c>
      <c r="L40" s="6">
        <f>L39+J40</f>
        <v/>
      </c>
      <c r="M40" s="4">
        <f>ROUND(E10+(F10-E10)*2/6,0)</f>
        <v/>
      </c>
      <c r="N40" s="6">
        <f>M40*$B$4</f>
        <v/>
      </c>
      <c r="O40" s="6">
        <f>M40*$B$5</f>
        <v/>
      </c>
      <c r="P40" s="6">
        <f>P39+N40</f>
        <v/>
      </c>
      <c r="Q40" s="6">
        <f>Q39+O40</f>
        <v/>
      </c>
    </row>
    <row r="41">
      <c r="A41" s="4" t="n">
        <v>27</v>
      </c>
      <c r="B41" s="4" t="inlineStr">
        <is>
          <t>2028-09</t>
        </is>
      </c>
      <c r="C41" s="4">
        <f>ROUND(E8+(F8-E8)*3/6,0)</f>
        <v/>
      </c>
      <c r="D41" s="6">
        <f>C41*$B$4</f>
        <v/>
      </c>
      <c r="E41" s="6">
        <f>C41*$B$5</f>
        <v/>
      </c>
      <c r="F41" s="6">
        <f>F40+D41</f>
        <v/>
      </c>
      <c r="G41" s="6">
        <f>G40+E41</f>
        <v/>
      </c>
      <c r="H41" s="4">
        <f>ROUND(E9+(F9-E9)*3/6,0)</f>
        <v/>
      </c>
      <c r="I41" s="6">
        <f>H41*$B$4</f>
        <v/>
      </c>
      <c r="J41" s="6">
        <f>H41*$B$5</f>
        <v/>
      </c>
      <c r="K41" s="6">
        <f>K40+I41</f>
        <v/>
      </c>
      <c r="L41" s="6">
        <f>L40+J41</f>
        <v/>
      </c>
      <c r="M41" s="4">
        <f>ROUND(E10+(F10-E10)*3/6,0)</f>
        <v/>
      </c>
      <c r="N41" s="6">
        <f>M41*$B$4</f>
        <v/>
      </c>
      <c r="O41" s="6">
        <f>M41*$B$5</f>
        <v/>
      </c>
      <c r="P41" s="6">
        <f>P40+N41</f>
        <v/>
      </c>
      <c r="Q41" s="6">
        <f>Q40+O41</f>
        <v/>
      </c>
    </row>
    <row r="42">
      <c r="A42" s="4" t="n">
        <v>28</v>
      </c>
      <c r="B42" s="4" t="inlineStr">
        <is>
          <t>2028-10</t>
        </is>
      </c>
      <c r="C42" s="4">
        <f>ROUND(E8+(F8-E8)*4/6,0)</f>
        <v/>
      </c>
      <c r="D42" s="6">
        <f>C42*$B$4</f>
        <v/>
      </c>
      <c r="E42" s="6">
        <f>C42*$B$5</f>
        <v/>
      </c>
      <c r="F42" s="6">
        <f>F41+D42</f>
        <v/>
      </c>
      <c r="G42" s="6">
        <f>G41+E42</f>
        <v/>
      </c>
      <c r="H42" s="4">
        <f>ROUND(E9+(F9-E9)*4/6,0)</f>
        <v/>
      </c>
      <c r="I42" s="6">
        <f>H42*$B$4</f>
        <v/>
      </c>
      <c r="J42" s="6">
        <f>H42*$B$5</f>
        <v/>
      </c>
      <c r="K42" s="6">
        <f>K41+I42</f>
        <v/>
      </c>
      <c r="L42" s="6">
        <f>L41+J42</f>
        <v/>
      </c>
      <c r="M42" s="4">
        <f>ROUND(E10+(F10-E10)*4/6,0)</f>
        <v/>
      </c>
      <c r="N42" s="6">
        <f>M42*$B$4</f>
        <v/>
      </c>
      <c r="O42" s="6">
        <f>M42*$B$5</f>
        <v/>
      </c>
      <c r="P42" s="6">
        <f>P41+N42</f>
        <v/>
      </c>
      <c r="Q42" s="6">
        <f>Q41+O42</f>
        <v/>
      </c>
    </row>
    <row r="43">
      <c r="A43" s="4" t="n">
        <v>29</v>
      </c>
      <c r="B43" s="4" t="inlineStr">
        <is>
          <t>2028-11</t>
        </is>
      </c>
      <c r="C43" s="4">
        <f>ROUND(E8+(F8-E8)*5/6,0)</f>
        <v/>
      </c>
      <c r="D43" s="6">
        <f>C43*$B$4</f>
        <v/>
      </c>
      <c r="E43" s="6">
        <f>C43*$B$5</f>
        <v/>
      </c>
      <c r="F43" s="6">
        <f>F42+D43</f>
        <v/>
      </c>
      <c r="G43" s="6">
        <f>G42+E43</f>
        <v/>
      </c>
      <c r="H43" s="4">
        <f>ROUND(E9+(F9-E9)*5/6,0)</f>
        <v/>
      </c>
      <c r="I43" s="6">
        <f>H43*$B$4</f>
        <v/>
      </c>
      <c r="J43" s="6">
        <f>H43*$B$5</f>
        <v/>
      </c>
      <c r="K43" s="6">
        <f>K42+I43</f>
        <v/>
      </c>
      <c r="L43" s="6">
        <f>L42+J43</f>
        <v/>
      </c>
      <c r="M43" s="4">
        <f>ROUND(E10+(F10-E10)*5/6,0)</f>
        <v/>
      </c>
      <c r="N43" s="6">
        <f>M43*$B$4</f>
        <v/>
      </c>
      <c r="O43" s="6">
        <f>M43*$B$5</f>
        <v/>
      </c>
      <c r="P43" s="6">
        <f>P42+N43</f>
        <v/>
      </c>
      <c r="Q43" s="6">
        <f>Q42+O43</f>
        <v/>
      </c>
    </row>
    <row r="44">
      <c r="A44" s="4" t="n">
        <v>30</v>
      </c>
      <c r="B44" s="4" t="inlineStr">
        <is>
          <t>2028-12</t>
        </is>
      </c>
      <c r="C44" s="4">
        <f>ROUND(E8+(F8-E8)*6/6,0)</f>
        <v/>
      </c>
      <c r="D44" s="6">
        <f>C44*$B$4</f>
        <v/>
      </c>
      <c r="E44" s="6">
        <f>C44*$B$5</f>
        <v/>
      </c>
      <c r="F44" s="6">
        <f>F43+D44</f>
        <v/>
      </c>
      <c r="G44" s="6">
        <f>G43+E44</f>
        <v/>
      </c>
      <c r="H44" s="4">
        <f>ROUND(E9+(F9-E9)*6/6,0)</f>
        <v/>
      </c>
      <c r="I44" s="6">
        <f>H44*$B$4</f>
        <v/>
      </c>
      <c r="J44" s="6">
        <f>H44*$B$5</f>
        <v/>
      </c>
      <c r="K44" s="6">
        <f>K43+I44</f>
        <v/>
      </c>
      <c r="L44" s="6">
        <f>L43+J44</f>
        <v/>
      </c>
      <c r="M44" s="4">
        <f>ROUND(E10+(F10-E10)*6/6,0)</f>
        <v/>
      </c>
      <c r="N44" s="6">
        <f>M44*$B$4</f>
        <v/>
      </c>
      <c r="O44" s="6">
        <f>M44*$B$5</f>
        <v/>
      </c>
      <c r="P44" s="6">
        <f>P43+N44</f>
        <v/>
      </c>
      <c r="Q44" s="6">
        <f>Q43+O44</f>
        <v/>
      </c>
    </row>
    <row r="45">
      <c r="A45" s="4" t="n">
        <v>31</v>
      </c>
      <c r="B45" s="4" t="inlineStr">
        <is>
          <t>2029-01</t>
        </is>
      </c>
      <c r="C45" s="4">
        <f>ROUND(F8+(G8-F8)*1/6,0)</f>
        <v/>
      </c>
      <c r="D45" s="6">
        <f>C45*$B$4</f>
        <v/>
      </c>
      <c r="E45" s="6">
        <f>C45*$B$5</f>
        <v/>
      </c>
      <c r="F45" s="6">
        <f>F44+D45</f>
        <v/>
      </c>
      <c r="G45" s="6">
        <f>G44+E45</f>
        <v/>
      </c>
      <c r="H45" s="4">
        <f>ROUND(F9+(G9-F9)*1/6,0)</f>
        <v/>
      </c>
      <c r="I45" s="6">
        <f>H45*$B$4</f>
        <v/>
      </c>
      <c r="J45" s="6">
        <f>H45*$B$5</f>
        <v/>
      </c>
      <c r="K45" s="6">
        <f>K44+I45</f>
        <v/>
      </c>
      <c r="L45" s="6">
        <f>L44+J45</f>
        <v/>
      </c>
      <c r="M45" s="4">
        <f>ROUND(F10+(G10-F10)*1/6,0)</f>
        <v/>
      </c>
      <c r="N45" s="6">
        <f>M45*$B$4</f>
        <v/>
      </c>
      <c r="O45" s="6">
        <f>M45*$B$5</f>
        <v/>
      </c>
      <c r="P45" s="6">
        <f>P44+N45</f>
        <v/>
      </c>
      <c r="Q45" s="6">
        <f>Q44+O45</f>
        <v/>
      </c>
    </row>
    <row r="46">
      <c r="A46" s="4" t="n">
        <v>32</v>
      </c>
      <c r="B46" s="4" t="inlineStr">
        <is>
          <t>2029-02</t>
        </is>
      </c>
      <c r="C46" s="4">
        <f>ROUND(F8+(G8-F8)*2/6,0)</f>
        <v/>
      </c>
      <c r="D46" s="6">
        <f>C46*$B$4</f>
        <v/>
      </c>
      <c r="E46" s="6">
        <f>C46*$B$5</f>
        <v/>
      </c>
      <c r="F46" s="6">
        <f>F45+D46</f>
        <v/>
      </c>
      <c r="G46" s="6">
        <f>G45+E46</f>
        <v/>
      </c>
      <c r="H46" s="4">
        <f>ROUND(F9+(G9-F9)*2/6,0)</f>
        <v/>
      </c>
      <c r="I46" s="6">
        <f>H46*$B$4</f>
        <v/>
      </c>
      <c r="J46" s="6">
        <f>H46*$B$5</f>
        <v/>
      </c>
      <c r="K46" s="6">
        <f>K45+I46</f>
        <v/>
      </c>
      <c r="L46" s="6">
        <f>L45+J46</f>
        <v/>
      </c>
      <c r="M46" s="4">
        <f>ROUND(F10+(G10-F10)*2/6,0)</f>
        <v/>
      </c>
      <c r="N46" s="6">
        <f>M46*$B$4</f>
        <v/>
      </c>
      <c r="O46" s="6">
        <f>M46*$B$5</f>
        <v/>
      </c>
      <c r="P46" s="6">
        <f>P45+N46</f>
        <v/>
      </c>
      <c r="Q46" s="6">
        <f>Q45+O46</f>
        <v/>
      </c>
    </row>
    <row r="47">
      <c r="A47" s="4" t="n">
        <v>33</v>
      </c>
      <c r="B47" s="4" t="inlineStr">
        <is>
          <t>2029-03</t>
        </is>
      </c>
      <c r="C47" s="4">
        <f>ROUND(F8+(G8-F8)*3/6,0)</f>
        <v/>
      </c>
      <c r="D47" s="6">
        <f>C47*$B$4</f>
        <v/>
      </c>
      <c r="E47" s="6">
        <f>C47*$B$5</f>
        <v/>
      </c>
      <c r="F47" s="6">
        <f>F46+D47</f>
        <v/>
      </c>
      <c r="G47" s="6">
        <f>G46+E47</f>
        <v/>
      </c>
      <c r="H47" s="4">
        <f>ROUND(F9+(G9-F9)*3/6,0)</f>
        <v/>
      </c>
      <c r="I47" s="6">
        <f>H47*$B$4</f>
        <v/>
      </c>
      <c r="J47" s="6">
        <f>H47*$B$5</f>
        <v/>
      </c>
      <c r="K47" s="6">
        <f>K46+I47</f>
        <v/>
      </c>
      <c r="L47" s="6">
        <f>L46+J47</f>
        <v/>
      </c>
      <c r="M47" s="4">
        <f>ROUND(F10+(G10-F10)*3/6,0)</f>
        <v/>
      </c>
      <c r="N47" s="6">
        <f>M47*$B$4</f>
        <v/>
      </c>
      <c r="O47" s="6">
        <f>M47*$B$5</f>
        <v/>
      </c>
      <c r="P47" s="6">
        <f>P46+N47</f>
        <v/>
      </c>
      <c r="Q47" s="6">
        <f>Q46+O47</f>
        <v/>
      </c>
    </row>
    <row r="48">
      <c r="A48" s="4" t="n">
        <v>34</v>
      </c>
      <c r="B48" s="4" t="inlineStr">
        <is>
          <t>2029-04</t>
        </is>
      </c>
      <c r="C48" s="4">
        <f>ROUND(F8+(G8-F8)*4/6,0)</f>
        <v/>
      </c>
      <c r="D48" s="6">
        <f>C48*$B$4</f>
        <v/>
      </c>
      <c r="E48" s="6">
        <f>C48*$B$5</f>
        <v/>
      </c>
      <c r="F48" s="6">
        <f>F47+D48</f>
        <v/>
      </c>
      <c r="G48" s="6">
        <f>G47+E48</f>
        <v/>
      </c>
      <c r="H48" s="4">
        <f>ROUND(F9+(G9-F9)*4/6,0)</f>
        <v/>
      </c>
      <c r="I48" s="6">
        <f>H48*$B$4</f>
        <v/>
      </c>
      <c r="J48" s="6">
        <f>H48*$B$5</f>
        <v/>
      </c>
      <c r="K48" s="6">
        <f>K47+I48</f>
        <v/>
      </c>
      <c r="L48" s="6">
        <f>L47+J48</f>
        <v/>
      </c>
      <c r="M48" s="4">
        <f>ROUND(F10+(G10-F10)*4/6,0)</f>
        <v/>
      </c>
      <c r="N48" s="6">
        <f>M48*$B$4</f>
        <v/>
      </c>
      <c r="O48" s="6">
        <f>M48*$B$5</f>
        <v/>
      </c>
      <c r="P48" s="6">
        <f>P47+N48</f>
        <v/>
      </c>
      <c r="Q48" s="6">
        <f>Q47+O48</f>
        <v/>
      </c>
    </row>
    <row r="49">
      <c r="A49" s="4" t="n">
        <v>35</v>
      </c>
      <c r="B49" s="4" t="inlineStr">
        <is>
          <t>2029-05</t>
        </is>
      </c>
      <c r="C49" s="4">
        <f>ROUND(F8+(G8-F8)*5/6,0)</f>
        <v/>
      </c>
      <c r="D49" s="6">
        <f>C49*$B$4</f>
        <v/>
      </c>
      <c r="E49" s="6">
        <f>C49*$B$5</f>
        <v/>
      </c>
      <c r="F49" s="6">
        <f>F48+D49</f>
        <v/>
      </c>
      <c r="G49" s="6">
        <f>G48+E49</f>
        <v/>
      </c>
      <c r="H49" s="4">
        <f>ROUND(F9+(G9-F9)*5/6,0)</f>
        <v/>
      </c>
      <c r="I49" s="6">
        <f>H49*$B$4</f>
        <v/>
      </c>
      <c r="J49" s="6">
        <f>H49*$B$5</f>
        <v/>
      </c>
      <c r="K49" s="6">
        <f>K48+I49</f>
        <v/>
      </c>
      <c r="L49" s="6">
        <f>L48+J49</f>
        <v/>
      </c>
      <c r="M49" s="4">
        <f>ROUND(F10+(G10-F10)*5/6,0)</f>
        <v/>
      </c>
      <c r="N49" s="6">
        <f>M49*$B$4</f>
        <v/>
      </c>
      <c r="O49" s="6">
        <f>M49*$B$5</f>
        <v/>
      </c>
      <c r="P49" s="6">
        <f>P48+N49</f>
        <v/>
      </c>
      <c r="Q49" s="6">
        <f>Q48+O49</f>
        <v/>
      </c>
    </row>
    <row r="50">
      <c r="A50" s="4" t="n">
        <v>36</v>
      </c>
      <c r="B50" s="4" t="inlineStr">
        <is>
          <t>2029-06</t>
        </is>
      </c>
      <c r="C50" s="4">
        <f>ROUND(F8+(G8-F8)*6/6,0)</f>
        <v/>
      </c>
      <c r="D50" s="6">
        <f>C50*$B$4</f>
        <v/>
      </c>
      <c r="E50" s="6">
        <f>C50*$B$5</f>
        <v/>
      </c>
      <c r="F50" s="6">
        <f>F49+D50</f>
        <v/>
      </c>
      <c r="G50" s="6">
        <f>G49+E50</f>
        <v/>
      </c>
      <c r="H50" s="4">
        <f>ROUND(F9+(G9-F9)*6/6,0)</f>
        <v/>
      </c>
      <c r="I50" s="6">
        <f>H50*$B$4</f>
        <v/>
      </c>
      <c r="J50" s="6">
        <f>H50*$B$5</f>
        <v/>
      </c>
      <c r="K50" s="6">
        <f>K49+I50</f>
        <v/>
      </c>
      <c r="L50" s="6">
        <f>L49+J50</f>
        <v/>
      </c>
      <c r="M50" s="4">
        <f>ROUND(F10+(G10-F10)*6/6,0)</f>
        <v/>
      </c>
      <c r="N50" s="6">
        <f>M50*$B$4</f>
        <v/>
      </c>
      <c r="O50" s="6">
        <f>M50*$B$5</f>
        <v/>
      </c>
      <c r="P50" s="6">
        <f>P49+N50</f>
        <v/>
      </c>
      <c r="Q50" s="6">
        <f>Q49+O50</f>
        <v/>
      </c>
    </row>
    <row r="52">
      <c r="A52" s="2" t="inlineStr">
        <is>
          <t>3년 누적</t>
        </is>
      </c>
    </row>
    <row r="53">
      <c r="A53" s="3" t="inlineStr">
        <is>
          <t>시나리오</t>
        </is>
      </c>
      <c r="B53" s="3" t="inlineStr">
        <is>
          <t>3년말 활성 학생</t>
        </is>
      </c>
      <c r="C53" s="3" t="inlineStr">
        <is>
          <t>누적 매출(원)</t>
        </is>
      </c>
      <c r="D53" s="3" t="inlineStr">
        <is>
          <t>누적 기여마진(원)</t>
        </is>
      </c>
    </row>
    <row r="54">
      <c r="A54" s="4" t="inlineStr">
        <is>
          <t>보수</t>
        </is>
      </c>
      <c r="B54" s="4">
        <f>C50</f>
        <v/>
      </c>
      <c r="C54" s="6">
        <f>F50</f>
        <v/>
      </c>
      <c r="D54" s="6">
        <f>G50</f>
        <v/>
      </c>
    </row>
    <row r="55">
      <c r="A55" s="4" t="inlineStr">
        <is>
          <t>기본</t>
        </is>
      </c>
      <c r="B55" s="4">
        <f>H50</f>
        <v/>
      </c>
      <c r="C55" s="6">
        <f>K50</f>
        <v/>
      </c>
      <c r="D55" s="6">
        <f>L50</f>
        <v/>
      </c>
    </row>
    <row r="56">
      <c r="A56" s="4" t="inlineStr">
        <is>
          <t>공격</t>
        </is>
      </c>
      <c r="B56" s="4">
        <f>M50</f>
        <v/>
      </c>
      <c r="C56" s="6">
        <f>P50</f>
        <v/>
      </c>
      <c r="D56" s="6">
        <f>Q50</f>
        <v/>
      </c>
    </row>
    <row r="58">
      <c r="A58" t="inlineStr">
        <is>
          <t>주: 반기말 활성 학생은 소스 문서 확정 앵커, 월별은 선형 보간. 3년 누적은 월별 적산값 — 2026-07-14부로 전 대외 문서가 이 기준으로 통일됨 (기본 약 19.1억·6.3억).</t>
        </is>
      </c>
    </row>
  </sheetData>
  <mergeCells count="3">
    <mergeCell ref="C13:G13"/>
    <mergeCell ref="M13:Q13"/>
    <mergeCell ref="H13:L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5" customWidth="1" min="3" max="3"/>
    <col width="34" customWidth="1" min="4" max="4"/>
    <col width="18" customWidth="1" min="5" max="5"/>
  </cols>
  <sheetData>
    <row r="1">
      <c r="A1" s="7" t="inlineStr">
        <is>
          <t>CAC 규율 · 채널 · 지원금 배분</t>
        </is>
      </c>
    </row>
    <row r="3">
      <c r="A3" t="inlineStr">
        <is>
          <t>파일럿 CAC 상한(원/명)</t>
        </is>
      </c>
      <c r="B3" s="8" t="n">
        <v>200000</v>
      </c>
      <c r="C3" t="inlineStr">
        <is>
          <t>상한 초과 채널 사용 금지 · 2주 연속 리드 0이면 채널 교체</t>
        </is>
      </c>
    </row>
    <row r="5">
      <c r="A5" s="2" t="inlineStr">
        <is>
          <t>채널 4트랙 (전 채널 1~2개 동 반경 집중)</t>
        </is>
      </c>
    </row>
    <row r="6">
      <c r="A6" s="3" t="inlineStr">
        <is>
          <t>트랙</t>
        </is>
      </c>
      <c r="B6" s="3" t="inlineStr">
        <is>
          <t>대상</t>
        </is>
      </c>
      <c r="C6" s="3" t="inlineStr">
        <is>
          <t>우선순위/가동</t>
        </is>
      </c>
      <c r="D6" s="3" t="inlineStr">
        <is>
          <t>핵심 채널</t>
        </is>
      </c>
      <c r="E6" s="3" t="inlineStr">
        <is>
          <t>CAC 가설</t>
        </is>
      </c>
    </row>
    <row r="7">
      <c r="A7" s="4" t="inlineStr">
        <is>
          <t>T1 학생</t>
        </is>
      </c>
      <c r="B7" s="4" t="inlineStr">
        <is>
          <t>사용자·가정 내 추천</t>
        </is>
      </c>
      <c r="C7" s="4" t="inlineStr">
        <is>
          <t>1순위</t>
        </is>
      </c>
      <c r="D7" s="4" t="inlineStr">
        <is>
          <t>숏폼·AI 무료체험 → 부모님께 보내기</t>
        </is>
      </c>
      <c r="E7" s="4" t="inlineStr">
        <is>
          <t>콘텐츠 비용</t>
        </is>
      </c>
    </row>
    <row r="8">
      <c r="A8" s="4" t="inlineStr">
        <is>
          <t>T2 학부모</t>
        </is>
      </c>
      <c r="B8" s="4" t="inlineStr">
        <is>
          <t>결제자(본진)</t>
        </is>
      </c>
      <c r="C8" s="4" t="inlineStr">
        <is>
          <t>2순위</t>
        </is>
      </c>
      <c r="D8" s="4" t="inlineStr">
        <is>
          <t>네이버 SA(로컬)·카카오 CRM·당근 비즈프로필</t>
        </is>
      </c>
      <c r="E8" s="4" t="inlineStr">
        <is>
          <t>결제 CAC 20~50만 원</t>
        </is>
      </c>
    </row>
    <row r="9">
      <c r="A9" s="4" t="inlineStr">
        <is>
          <t>T3 강사</t>
        </is>
      </c>
      <c r="B9" s="4" t="inlineStr">
        <is>
          <t>공급(최선행)</t>
        </is>
      </c>
      <c r="C9" s="4" t="inlineStr">
        <is>
          <t>3순위 · 수요보다 2~6주 선행</t>
        </is>
      </c>
      <c r="D9" s="4" t="inlineStr">
        <is>
          <t>채용 공고 SEO·재직 강사 추천(보너스 10만)</t>
        </is>
      </c>
      <c r="E9" s="4" t="inlineStr">
        <is>
          <t>건당 10만 원</t>
        </is>
      </c>
    </row>
    <row r="10">
      <c r="A10" s="4" t="inlineStr">
        <is>
          <t>T4 매니저</t>
        </is>
      </c>
      <c r="B10" s="4" t="inlineStr">
        <is>
          <t>운영 인력</t>
        </is>
      </c>
      <c r="C10" s="4" t="inlineStr">
        <is>
          <t>4순위 · Gate 2 이후</t>
        </is>
      </c>
      <c r="D10" s="4" t="inlineStr">
        <is>
          <t>맘카페·당근 구인(지역)</t>
        </is>
      </c>
      <c r="E10" s="4" t="inlineStr">
        <is>
          <t>약 0(겸용)</t>
        </is>
      </c>
    </row>
    <row r="12">
      <c r="A12" s="2" t="inlineStr">
        <is>
          <t>시나리오별 CAC</t>
        </is>
      </c>
    </row>
    <row r="13">
      <c r="A13" s="3" t="inlineStr">
        <is>
          <t>시나리오</t>
        </is>
      </c>
      <c r="B13" s="3" t="inlineStr">
        <is>
          <t>초기 CAC(원, 2026 H2)</t>
        </is>
      </c>
      <c r="C13" s="3" t="inlineStr">
        <is>
          <t>안정기 CAC(원, 2028+)</t>
        </is>
      </c>
      <c r="D13" s="3" t="inlineStr">
        <is>
          <t>LTV/CAC 목표</t>
        </is>
      </c>
    </row>
    <row r="14">
      <c r="A14" s="4" t="inlineStr">
        <is>
          <t>보수</t>
        </is>
      </c>
      <c r="B14" s="6" t="n">
        <v>300000</v>
      </c>
      <c r="C14" s="6" t="n">
        <v>400000</v>
      </c>
      <c r="D14" s="4" t="inlineStr">
        <is>
          <t>3:1 이상</t>
        </is>
      </c>
    </row>
    <row r="15">
      <c r="A15" s="4" t="inlineStr">
        <is>
          <t>기본</t>
        </is>
      </c>
      <c r="B15" s="6" t="n">
        <v>200000</v>
      </c>
      <c r="C15" s="6" t="n">
        <v>250000</v>
      </c>
      <c r="D15" s="4" t="inlineStr">
        <is>
          <t>5:1 이상</t>
        </is>
      </c>
    </row>
    <row r="16">
      <c r="A16" s="4" t="inlineStr">
        <is>
          <t>공격</t>
        </is>
      </c>
      <c r="B16" s="6" t="n">
        <v>100000</v>
      </c>
      <c r="C16" s="6" t="n">
        <v>150000</v>
      </c>
      <c r="D16" s="4" t="inlineStr">
        <is>
          <t>8:1 이상</t>
        </is>
      </c>
    </row>
    <row r="18">
      <c r="A18" t="inlineStr">
        <is>
          <t>LTV(기본 시나리오) 약 130만~200만 원 = 객단가 × 평균 유지 기간 × 마진율. CAC 실측은 GA4·픽셀 도입 이후.</t>
        </is>
      </c>
    </row>
    <row r="20">
      <c r="A20" s="2" t="inlineStr">
        <is>
          <t>지원금 1억 원 배분 (예비창업패키지)</t>
        </is>
      </c>
    </row>
    <row r="21">
      <c r="A21" t="inlineStr">
        <is>
          <t>지원금 총액(원)</t>
        </is>
      </c>
      <c r="B21" s="8" t="n">
        <v>100000000</v>
      </c>
    </row>
    <row r="22">
      <c r="A22" s="3" t="inlineStr">
        <is>
          <t>항목</t>
        </is>
      </c>
      <c r="B22" s="3" t="inlineStr">
        <is>
          <t>비율</t>
        </is>
      </c>
      <c r="C22" s="3" t="inlineStr">
        <is>
          <t>금액(원)</t>
        </is>
      </c>
      <c r="D22" s="3" t="inlineStr">
        <is>
          <t>집행 시기</t>
        </is>
      </c>
      <c r="E22" s="3" t="inlineStr">
        <is>
          <t>세부</t>
        </is>
      </c>
    </row>
    <row r="23">
      <c r="A23" s="4" t="inlineStr">
        <is>
          <t>인건비</t>
        </is>
      </c>
      <c r="B23" s="18" t="n">
        <v>0.3</v>
      </c>
      <c r="C23" s="6">
        <f>$B$21*B23</f>
        <v/>
      </c>
      <c r="D23" s="4" t="inlineStr">
        <is>
          <t>개시~9개월</t>
        </is>
      </c>
      <c r="E23" s="4" t="inlineStr">
        <is>
          <t>학습 매니저 1~2인 채용, 대표자는 개발·전략 집중</t>
        </is>
      </c>
    </row>
    <row r="24">
      <c r="A24" s="4" t="inlineStr">
        <is>
          <t>사업화(개발)</t>
        </is>
      </c>
      <c r="B24" s="18" t="n">
        <v>0.25</v>
      </c>
      <c r="C24" s="6">
        <f>$B$21*B24</f>
        <v/>
      </c>
      <c r="D24" s="4" t="inlineStr">
        <is>
          <t>1~9개월</t>
        </is>
      </c>
      <c r="E24" s="4" t="inlineStr">
        <is>
          <t>모바일 앱 완성·스토어 출시, 빌링키 자동결제, 강사 추천 1차</t>
        </is>
      </c>
    </row>
    <row r="25">
      <c r="A25" s="4" t="inlineStr">
        <is>
          <t>마케팅·홍보</t>
        </is>
      </c>
      <c r="B25" s="18" t="n">
        <v>0.25</v>
      </c>
      <c r="C25" s="6">
        <f>$B$21*B25</f>
        <v/>
      </c>
      <c r="D25" s="4" t="inlineStr">
        <is>
          <t>전 기간</t>
        </is>
      </c>
      <c r="E25" s="4" t="inlineStr">
        <is>
          <t>네이버 SA·스마트플레이스·맘카페·카카오 채널, 실촬영·후기 자산</t>
        </is>
      </c>
    </row>
    <row r="26">
      <c r="A26" s="4" t="inlineStr">
        <is>
          <t>운영 제반비</t>
        </is>
      </c>
      <c r="B26" s="18" t="n">
        <v>0.15</v>
      </c>
      <c r="C26" s="6">
        <f>$B$21*B26</f>
        <v/>
      </c>
      <c r="D26" s="4" t="inlineStr">
        <is>
          <t>초기 집중</t>
        </is>
      </c>
      <c r="E26" s="4" t="inlineStr">
        <is>
          <t>법인 설립·신고, 법무·세무, 약관·환불정책, 배상책임보험</t>
        </is>
      </c>
    </row>
    <row r="27">
      <c r="A27" s="4" t="inlineStr">
        <is>
          <t>예비비</t>
        </is>
      </c>
      <c r="B27" s="18" t="n">
        <v>0.05</v>
      </c>
      <c r="C27" s="6">
        <f>$B$21*B27</f>
        <v/>
      </c>
      <c r="D27" s="4" t="inlineStr">
        <is>
          <t>상시</t>
        </is>
      </c>
      <c r="E27" s="4" t="inlineStr">
        <is>
          <t>환불 대비 준비금·긴급 비용</t>
        </is>
      </c>
    </row>
    <row r="28">
      <c r="A28" s="11" t="inlineStr">
        <is>
          <t>합계</t>
        </is>
      </c>
      <c r="B28" s="19">
        <f>SUM(B23:B27)</f>
        <v/>
      </c>
      <c r="C28" s="12">
        <f>SUM(C23:C27)</f>
        <v/>
      </c>
      <c r="D28" s="4" t="n"/>
      <c r="E28" s="4" t="n"/>
    </row>
    <row r="30">
      <c r="A30" t="inlineStr">
        <is>
          <t>마케팅 예산 단계: 파일럿 월 30~50만(자력) → 성장기 월 100~300만 → Phase 2 월 200~500만. 지원금 마케팅비 2,500만 원은 전 기간 분할 집행.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2026-07-14T11:13:14Z</dcterms:created>
  <dcterms:modified xmlns:dcterms="http://purl.org/dc/terms/" xmlns:xsi="http://www.w3.org/2001/XMLSchema-instance" xsi:type="dcterms:W3CDTF">2026-07-14T11:32:17Z</dcterms:modified>
</cp:coreProperties>
</file>